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sponses" sheetId="2" state="visible" r:id="rId2"/>
    <sheet xmlns:r="http://schemas.openxmlformats.org/officeDocument/2006/relationships" name="Summary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8"/>
    </font>
    <font>
      <name val="Arial"/>
      <charset val="1"/>
      <family val="0"/>
      <i val="1"/>
      <color rgb="FF595959"/>
      <sz val="11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06100"/>
      <sz val="10"/>
    </font>
    <font>
      <name val="Arial"/>
      <charset val="1"/>
      <family val="0"/>
      <b val="1"/>
      <color rgb="FF1F4E78"/>
      <sz val="14"/>
    </font>
  </fonts>
  <fills count="7">
    <fill>
      <patternFill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C6EFCE"/>
        <bgColor rgb="FFD9E1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/>
    </xf>
    <xf numFmtId="0" fontId="9" fillId="0" borderId="1" applyAlignment="1" pivotButton="0" quotePrefix="0" xfId="0">
      <alignment horizontal="general" vertical="top" wrapText="1"/>
    </xf>
    <xf numFmtId="0" fontId="11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/>
    </xf>
    <xf numFmtId="0" fontId="9" fillId="0" borderId="1" applyAlignment="1" pivotButton="0" quotePrefix="0" xfId="0">
      <alignment horizontal="general" vertical="top" wrapText="1"/>
    </xf>
    <xf numFmtId="0" fontId="11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B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2" customWidth="1" style="17" min="1" max="1"/>
    <col width="80" customWidth="1" style="17" min="2" max="2"/>
  </cols>
  <sheetData>
    <row r="1" ht="22.05" customHeight="1" s="18">
      <c r="A1" s="19" t="inlineStr">
        <is>
          <t>SIG Lite Questionnaire Response</t>
        </is>
      </c>
    </row>
    <row r="2" ht="15" customHeight="1" s="18">
      <c r="A2" s="20" t="inlineStr">
        <is>
          <t>Shared Assessments Standardized Information Gathering (SIG) - Lite 2024</t>
        </is>
      </c>
    </row>
    <row r="4" ht="21.75" customHeight="1" s="18">
      <c r="A4" s="21" t="inlineStr">
        <is>
          <t>Vendor / Service Provider</t>
        </is>
      </c>
      <c r="B4" s="22" t="inlineStr">
        <is>
          <t>CloudNimbus Financial Cloud Services Ltd.</t>
        </is>
      </c>
    </row>
    <row r="5" ht="21.75" customHeight="1" s="18">
      <c r="A5" s="21" t="inlineStr">
        <is>
          <t>Vendor ID</t>
        </is>
      </c>
      <c r="B5" s="22" t="inlineStr">
        <is>
          <t>TPV-2026-001</t>
        </is>
      </c>
    </row>
    <row r="6" ht="21.75" customHeight="1" s="18">
      <c r="A6" s="21" t="inlineStr">
        <is>
          <t>Service in Scope</t>
        </is>
      </c>
      <c r="B6" s="22" t="inlineStr">
        <is>
          <t>Cloud Infrastructure (IaaS / PaaS)</t>
        </is>
      </c>
    </row>
    <row r="7" ht="37.5" customHeight="1" s="18">
      <c r="A7" s="21" t="inlineStr">
        <is>
          <t>Service Description</t>
        </is>
      </c>
      <c r="B7" s="22" t="inlineStr">
        <is>
          <t>CloudNimbus provides FCA/PRA-aligned managed cloud infrastructure (IaaS and PaaS) hosting Aurora Investment Bank's electronic trading platform, derivatives pricing engine, intraday risk engine and Murex sub-ledger. The service includes dedicated tenancy compute, block and object storage, dedicated network fabrics, managed Kubernetes (CNK), managed Postgres and Kafka, hardware-backed key management (FIPS 140-2 Level 3 HSMs), and 24x7 L1/L2 operations with embedded SRE squads.</t>
        </is>
      </c>
    </row>
    <row r="8" ht="21.75" customHeight="1" s="18">
      <c r="A8" s="21" t="inlineStr">
        <is>
          <t>Vendor Contact</t>
        </is>
      </c>
      <c r="B8" s="22" t="inlineStr">
        <is>
          <t>Trust &amp; Compliance Team -- trust@cloudnimbus.example.com</t>
        </is>
      </c>
    </row>
    <row r="9" ht="21.75" customHeight="1" s="18">
      <c r="A9" s="21" t="inlineStr">
        <is>
          <t>Customer (Requester)</t>
        </is>
      </c>
      <c r="B9" s="22" t="inlineStr">
        <is>
          <t>Aurora Investment Bank plc - Cyber TPRM Function</t>
        </is>
      </c>
    </row>
    <row r="10" ht="21.75" customHeight="1" s="18">
      <c r="A10" s="21" t="inlineStr">
        <is>
          <t>Customer Contact</t>
        </is>
      </c>
      <c r="B10" s="22" t="inlineStr">
        <is>
          <t>Marco Ceci, VP Cyber Third Party Risk -- cyber-tprm@aurorabank.example.com</t>
        </is>
      </c>
    </row>
    <row r="11" ht="21.75" customHeight="1" s="18">
      <c r="A11" s="21" t="inlineStr">
        <is>
          <t>Reporting Date</t>
        </is>
      </c>
      <c r="B11" s="22" t="inlineStr">
        <is>
          <t>01 May 2026</t>
        </is>
      </c>
    </row>
    <row r="12" ht="21.75" customHeight="1" s="18">
      <c r="A12" s="21" t="inlineStr">
        <is>
          <t>Response Period</t>
        </is>
      </c>
      <c r="B12" s="22" t="inlineStr">
        <is>
          <t>Vendor controls in operation throughout most recent 12 months unless noted</t>
        </is>
      </c>
    </row>
    <row r="13" ht="21.75" customHeight="1" s="18">
      <c r="A13" s="21" t="inlineStr">
        <is>
          <t>Confidentiality</t>
        </is>
      </c>
      <c r="B13" s="22" t="inlineStr">
        <is>
          <t>CONFIDENTIAL - Customer use only. Do not redistribute.</t>
        </is>
      </c>
    </row>
    <row r="15" ht="15" customHeight="1" s="18">
      <c r="A15" s="23" t="inlineStr">
        <is>
          <t>Response Legend</t>
        </is>
      </c>
    </row>
    <row r="16" ht="15" customHeight="1" s="18">
      <c r="A16" s="24" t="inlineStr">
        <is>
          <t>Yes</t>
        </is>
      </c>
      <c r="B16" s="25" t="inlineStr">
        <is>
          <t>Control is fully implemented and operating effectively.</t>
        </is>
      </c>
    </row>
    <row r="17" ht="15" customHeight="1" s="18">
      <c r="A17" s="24" t="inlineStr">
        <is>
          <t>Partial</t>
        </is>
      </c>
      <c r="B17" s="25" t="inlineStr">
        <is>
          <t>Control is partially implemented, with documented gaps or compensating controls.</t>
        </is>
      </c>
    </row>
    <row r="18" ht="15" customHeight="1" s="18">
      <c r="A18" s="24" t="inlineStr">
        <is>
          <t>No</t>
        </is>
      </c>
      <c r="B18" s="25" t="inlineStr">
        <is>
          <t>Control is not implemented.</t>
        </is>
      </c>
    </row>
    <row r="19" ht="15" customHeight="1" s="18">
      <c r="A19" s="24" t="inlineStr">
        <is>
          <t>N/A</t>
        </is>
      </c>
      <c r="B19" s="25" t="inlineStr">
        <is>
          <t>Control is not applicable to the service offering.</t>
        </is>
      </c>
    </row>
  </sheetData>
  <mergeCells count="2">
    <mergeCell ref="A2:B2"/>
    <mergeCell ref="A1:B1"/>
  </mergeCells>
  <printOptions horizontalCentered="1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E1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17" min="1" max="1"/>
    <col width="30" customWidth="1" style="17" min="2" max="2"/>
    <col width="60" customWidth="1" style="17" min="3" max="3"/>
    <col width="14" customWidth="1" style="17" min="4" max="4"/>
    <col width="60" customWidth="1" style="17" min="5" max="5"/>
  </cols>
  <sheetData>
    <row r="1" ht="24" customHeight="1" s="18">
      <c r="A1" s="26" t="inlineStr">
        <is>
          <t>Q-ID</t>
        </is>
      </c>
      <c r="B1" s="26" t="inlineStr">
        <is>
          <t>Domain</t>
        </is>
      </c>
      <c r="C1" s="26" t="inlineStr">
        <is>
          <t>Question</t>
        </is>
      </c>
      <c r="D1" s="26" t="inlineStr">
        <is>
          <t>Response</t>
        </is>
      </c>
      <c r="E1" s="26" t="inlineStr">
        <is>
          <t>Vendor Comments / Evidence Reference</t>
        </is>
      </c>
    </row>
    <row r="2" ht="21.75" customHeight="1" s="18">
      <c r="A2" s="27" t="inlineStr">
        <is>
          <t>A. Risk Assessment &amp; Treatment</t>
        </is>
      </c>
    </row>
    <row r="3" ht="27.75" customHeight="1" s="18">
      <c r="A3" s="28" t="inlineStr">
        <is>
          <t>A.1</t>
        </is>
      </c>
      <c r="B3" s="28" t="inlineStr">
        <is>
          <t>A.</t>
        </is>
      </c>
      <c r="C3" s="28" t="inlineStr">
        <is>
          <t>Has a formal risk assessment process been documented and approved by senior management?</t>
        </is>
      </c>
      <c r="D3" s="29" t="inlineStr">
        <is>
          <t>Yes</t>
        </is>
      </c>
      <c r="E3" s="28" t="inlineStr">
        <is>
          <t>Implemented per ISP. Refer to SOC 2 Type II Section IV (control mapping) and ISO/IEC 27001:2022 Statement of Applicability.</t>
        </is>
      </c>
    </row>
    <row r="4" ht="27.75" customHeight="1" s="18">
      <c r="A4" s="30" t="inlineStr">
        <is>
          <t>A.2</t>
        </is>
      </c>
      <c r="B4" s="30" t="inlineStr">
        <is>
          <t>A.</t>
        </is>
      </c>
      <c r="C4" s="30" t="inlineStr">
        <is>
          <t>Are risk assessments performed at least annually and after significant changes?</t>
        </is>
      </c>
      <c r="D4" s="29" t="inlineStr">
        <is>
          <t>Yes</t>
        </is>
      </c>
      <c r="E4" s="30" t="inlineStr">
        <is>
          <t>Implemented per ISP. Refer to SOC 2 Type II Section IV (control mapping) and ISO/IEC 27001:2022 Statement of Applicability.</t>
        </is>
      </c>
    </row>
    <row r="5" ht="27.75" customHeight="1" s="18">
      <c r="A5" s="28" t="inlineStr">
        <is>
          <t>A.3</t>
        </is>
      </c>
      <c r="B5" s="28" t="inlineStr">
        <is>
          <t>A.</t>
        </is>
      </c>
      <c r="C5" s="28" t="inlineStr">
        <is>
          <t>Is there a documented risk treatment plan with assigned owners and target dates?</t>
        </is>
      </c>
      <c r="D5" s="29" t="inlineStr">
        <is>
          <t>Yes</t>
        </is>
      </c>
      <c r="E5" s="28" t="inlineStr">
        <is>
          <t>Implemented per ISP. Refer to SOC 2 Type II Section IV (control mapping) and ISO/IEC 27001:2022 Statement of Applicability.</t>
        </is>
      </c>
    </row>
    <row r="6" ht="27.75" customHeight="1" s="18">
      <c r="A6" s="30" t="inlineStr">
        <is>
          <t>A.4</t>
        </is>
      </c>
      <c r="B6" s="30" t="inlineStr">
        <is>
          <t>A.</t>
        </is>
      </c>
      <c r="C6" s="30" t="inlineStr">
        <is>
          <t>Are residual risks formally accepted by senior management?</t>
        </is>
      </c>
      <c r="D6" s="29" t="inlineStr">
        <is>
          <t>Yes</t>
        </is>
      </c>
      <c r="E6" s="30" t="inlineStr">
        <is>
          <t>Implemented per ISP. Refer to SOC 2 Type II Section IV (control mapping) and ISO/IEC 27001:2022 Statement of Applicability.</t>
        </is>
      </c>
    </row>
    <row r="7" ht="21.75" customHeight="1" s="18">
      <c r="A7" s="27" t="inlineStr">
        <is>
          <t>B. Security Policy</t>
        </is>
      </c>
    </row>
    <row r="8" ht="27.75" customHeight="1" s="18">
      <c r="A8" s="30" t="inlineStr">
        <is>
          <t>B.1</t>
        </is>
      </c>
      <c r="B8" s="30" t="inlineStr">
        <is>
          <t>B.</t>
        </is>
      </c>
      <c r="C8" s="30" t="inlineStr">
        <is>
          <t>Is there an Information Security Policy approved by senior management?</t>
        </is>
      </c>
      <c r="D8" s="29" t="inlineStr">
        <is>
          <t>Yes</t>
        </is>
      </c>
      <c r="E8" s="30" t="inlineStr">
        <is>
          <t>Implemented per ISP. Refer to SOC 2 Type II Section IV (control mapping) and ISO/IEC 27001:2022 Statement of Applicability.</t>
        </is>
      </c>
    </row>
    <row r="9" ht="27.75" customHeight="1" s="18">
      <c r="A9" s="28" t="inlineStr">
        <is>
          <t>B.2</t>
        </is>
      </c>
      <c r="B9" s="28" t="inlineStr">
        <is>
          <t>B.</t>
        </is>
      </c>
      <c r="C9" s="28" t="inlineStr">
        <is>
          <t>Is the Information Security Policy reviewed at least annually?</t>
        </is>
      </c>
      <c r="D9" s="29" t="inlineStr">
        <is>
          <t>Yes</t>
        </is>
      </c>
      <c r="E9" s="28" t="inlineStr">
        <is>
          <t>Implemented per ISP. Refer to SOC 2 Type II Section IV (control mapping) and ISO/IEC 27001:2022 Statement of Applicability.</t>
        </is>
      </c>
    </row>
    <row r="10" ht="27.75" customHeight="1" s="18">
      <c r="A10" s="30" t="inlineStr">
        <is>
          <t>B.3</t>
        </is>
      </c>
      <c r="B10" s="30" t="inlineStr">
        <is>
          <t>B.</t>
        </is>
      </c>
      <c r="C10" s="30" t="inlineStr">
        <is>
          <t>Are policy exceptions formally tracked and approved?</t>
        </is>
      </c>
      <c r="D10" s="29" t="inlineStr">
        <is>
          <t>Yes</t>
        </is>
      </c>
      <c r="E10" s="30" t="inlineStr">
        <is>
          <t>Implemented per ISP. Refer to SOC 2 Type II Section IV (control mapping) and ISO/IEC 27001:2022 Statement of Applicability.</t>
        </is>
      </c>
    </row>
    <row r="11" ht="27.75" customHeight="1" s="18">
      <c r="A11" s="28" t="inlineStr">
        <is>
          <t>B.4</t>
        </is>
      </c>
      <c r="B11" s="28" t="inlineStr">
        <is>
          <t>B.</t>
        </is>
      </c>
      <c r="C11" s="28" t="inlineStr">
        <is>
          <t>Are policies communicated to all relevant personnel (employees, contractors)?</t>
        </is>
      </c>
      <c r="D11" s="29" t="inlineStr">
        <is>
          <t>Yes</t>
        </is>
      </c>
      <c r="E11" s="28" t="inlineStr">
        <is>
          <t>Implemented per ISP. Refer to SOC 2 Type II Section IV (control mapping) and ISO/IEC 27001:2022 Statement of Applicability.</t>
        </is>
      </c>
    </row>
    <row r="12" ht="21.75" customHeight="1" s="18">
      <c r="A12" s="27" t="inlineStr">
        <is>
          <t>C. Organizational Security</t>
        </is>
      </c>
    </row>
    <row r="13" ht="27.75" customHeight="1" s="18">
      <c r="A13" s="28" t="inlineStr">
        <is>
          <t>C.1</t>
        </is>
      </c>
      <c r="B13" s="28" t="inlineStr">
        <is>
          <t>C.</t>
        </is>
      </c>
      <c r="C13" s="28" t="inlineStr">
        <is>
          <t>Is there a designated Chief Information Security Officer (CISO) or equivalent?</t>
        </is>
      </c>
      <c r="D13" s="29" t="inlineStr">
        <is>
          <t>Yes</t>
        </is>
      </c>
      <c r="E13" s="28" t="inlineStr">
        <is>
          <t>Implemented per ISP. Refer to SOC 2 Type II Section IV (control mapping) and ISO/IEC 27001:2022 Statement of Applicability.</t>
        </is>
      </c>
    </row>
    <row r="14" ht="27.75" customHeight="1" s="18">
      <c r="A14" s="30" t="inlineStr">
        <is>
          <t>C.2</t>
        </is>
      </c>
      <c r="B14" s="30" t="inlineStr">
        <is>
          <t>C.</t>
        </is>
      </c>
      <c r="C14" s="30" t="inlineStr">
        <is>
          <t>Is information security included in standard contractual terms with all third parties?</t>
        </is>
      </c>
      <c r="D14" s="29" t="inlineStr">
        <is>
          <t>Yes</t>
        </is>
      </c>
      <c r="E14" s="30" t="inlineStr">
        <is>
          <t>Implemented per ISP. Refer to SOC 2 Type II Section IV (control mapping) and ISO/IEC 27001:2022 Statement of Applicability.</t>
        </is>
      </c>
    </row>
    <row r="15" ht="27.75" customHeight="1" s="18">
      <c r="A15" s="28" t="inlineStr">
        <is>
          <t>C.3</t>
        </is>
      </c>
      <c r="B15" s="28" t="inlineStr">
        <is>
          <t>C.</t>
        </is>
      </c>
      <c r="C15" s="28" t="inlineStr">
        <is>
          <t>Do you maintain current ISO 27001 / SOC 2 / equivalent certifications?</t>
        </is>
      </c>
      <c r="D15" s="31" t="inlineStr">
        <is>
          <t>See comment</t>
        </is>
      </c>
      <c r="E15" s="28" t="inlineStr">
        <is>
          <t>Implemented per ISP. Refer to SOC 2 Type II Section IV (control mapping) and ISO/IEC 27001:2022 Statement of Applicability.</t>
        </is>
      </c>
    </row>
    <row r="16" ht="27.75" customHeight="1" s="18">
      <c r="A16" s="30" t="inlineStr">
        <is>
          <t>C.4</t>
        </is>
      </c>
      <c r="B16" s="30" t="inlineStr">
        <is>
          <t>C.</t>
        </is>
      </c>
      <c r="C16" s="30" t="inlineStr">
        <is>
          <t>Do you maintain a third-party / subprocessor risk management program?</t>
        </is>
      </c>
      <c r="D16" s="29" t="inlineStr">
        <is>
          <t>Yes</t>
        </is>
      </c>
      <c r="E16" s="30" t="inlineStr">
        <is>
          <t>Implemented per ISP. Refer to SOC 2 Type II Section IV (control mapping) and ISO/IEC 27001:2022 Statement of Applicability.</t>
        </is>
      </c>
    </row>
    <row r="17" ht="27.75" customHeight="1" s="18">
      <c r="A17" s="28" t="inlineStr">
        <is>
          <t>C.5</t>
        </is>
      </c>
      <c r="B17" s="28" t="inlineStr">
        <is>
          <t>C.</t>
        </is>
      </c>
      <c r="C17" s="28" t="inlineStr">
        <is>
          <t>Is a current list of subprocessors maintained and made available to customers?</t>
        </is>
      </c>
      <c r="D17" s="29" t="inlineStr">
        <is>
          <t>Yes</t>
        </is>
      </c>
      <c r="E17" s="28" t="inlineStr">
        <is>
          <t>Subprocessor list maintained in Trust Center; DPA Schedule 3 references EU/UK/US sub-processors. Refresh cadence: quarterly.</t>
        </is>
      </c>
    </row>
    <row r="18" ht="27.75" customHeight="1" s="18">
      <c r="A18" s="30" t="inlineStr">
        <is>
          <t>C.6</t>
        </is>
      </c>
      <c r="B18" s="30" t="inlineStr">
        <is>
          <t>C.</t>
        </is>
      </c>
      <c r="C18" s="30" t="inlineStr">
        <is>
          <t>Are subprocessors assessed for security and privacy at onboarding and at least annually?</t>
        </is>
      </c>
      <c r="D18" s="29" t="inlineStr">
        <is>
          <t>Yes</t>
        </is>
      </c>
      <c r="E18" s="30" t="inlineStr">
        <is>
          <t>Implemented per ISP. Refer to SOC 2 Type II Section IV (control mapping) and ISO/IEC 27001:2022 Statement of Applicability.</t>
        </is>
      </c>
    </row>
    <row r="19" ht="21.75" customHeight="1" s="18">
      <c r="A19" s="27" t="inlineStr">
        <is>
          <t>D. Asset &amp; Information Management</t>
        </is>
      </c>
    </row>
    <row r="20" ht="27.75" customHeight="1" s="18">
      <c r="A20" s="30" t="inlineStr">
        <is>
          <t>D.1</t>
        </is>
      </c>
      <c r="B20" s="30" t="inlineStr">
        <is>
          <t>D.</t>
        </is>
      </c>
      <c r="C20" s="30" t="inlineStr">
        <is>
          <t>Is a documented information classification scheme in place?</t>
        </is>
      </c>
      <c r="D20" s="29" t="inlineStr">
        <is>
          <t>Yes</t>
        </is>
      </c>
      <c r="E20" s="30" t="inlineStr">
        <is>
          <t>Implemented per ISP. Refer to SOC 2 Type II Section IV (control mapping) and ISO/IEC 27001:2022 Statement of Applicability.</t>
        </is>
      </c>
    </row>
    <row r="21" ht="27.75" customHeight="1" s="18">
      <c r="A21" s="28" t="inlineStr">
        <is>
          <t>D.2</t>
        </is>
      </c>
      <c r="B21" s="28" t="inlineStr">
        <is>
          <t>D.</t>
        </is>
      </c>
      <c r="C21" s="28" t="inlineStr">
        <is>
          <t>Are information assets inventoried with assigned owners?</t>
        </is>
      </c>
      <c r="D21" s="29" t="inlineStr">
        <is>
          <t>Yes</t>
        </is>
      </c>
      <c r="E21" s="28" t="inlineStr">
        <is>
          <t>Implemented per ISP. Refer to SOC 2 Type II Section IV (control mapping) and ISO/IEC 27001:2022 Statement of Applicability.</t>
        </is>
      </c>
    </row>
    <row r="22" ht="27.75" customHeight="1" s="18">
      <c r="A22" s="30" t="inlineStr">
        <is>
          <t>D.3</t>
        </is>
      </c>
      <c r="B22" s="30" t="inlineStr">
        <is>
          <t>D.</t>
        </is>
      </c>
      <c r="C22" s="30" t="inlineStr">
        <is>
          <t>Do you provide periodic security awareness training to all personnel?</t>
        </is>
      </c>
      <c r="D22" s="32" t="inlineStr">
        <is>
          <t>See comment</t>
        </is>
      </c>
      <c r="E22" s="30" t="inlineStr">
        <is>
          <t>Implemented per ISP. Refer to SOC 2 Type II Section IV (control mapping) and ISO/IEC 27001:2022 Statement of Applicability.</t>
        </is>
      </c>
    </row>
    <row r="23" ht="27.75" customHeight="1" s="18">
      <c r="A23" s="28" t="inlineStr">
        <is>
          <t>D.4</t>
        </is>
      </c>
      <c r="B23" s="28" t="inlineStr">
        <is>
          <t>D.</t>
        </is>
      </c>
      <c r="C23" s="28" t="inlineStr">
        <is>
          <t>Is media disposal handled in accordance with NIST 800-88 or equivalent?</t>
        </is>
      </c>
      <c r="D23" s="29" t="inlineStr">
        <is>
          <t>Yes</t>
        </is>
      </c>
      <c r="E23" s="28" t="inlineStr">
        <is>
          <t>Implemented per ISP. Refer to SOC 2 Type II Section IV (control mapping) and ISO/IEC 27001:2022 Statement of Applicability.</t>
        </is>
      </c>
    </row>
    <row r="24" ht="27.75" customHeight="1" s="18">
      <c r="A24" s="30" t="inlineStr">
        <is>
          <t>D.5</t>
        </is>
      </c>
      <c r="B24" s="30" t="inlineStr">
        <is>
          <t>D.</t>
        </is>
      </c>
      <c r="C24" s="30" t="inlineStr">
        <is>
          <t>Are mobile devices and removable media subject to encryption requirements?</t>
        </is>
      </c>
      <c r="D24" s="29" t="inlineStr">
        <is>
          <t>Yes</t>
        </is>
      </c>
      <c r="E24" s="30" t="inlineStr">
        <is>
          <t>Implemented per ISP. Refer to SOC 2 Type II Section IV (control mapping) and ISO/IEC 27001:2022 Statement of Applicability.</t>
        </is>
      </c>
    </row>
    <row r="25" ht="21.75" customHeight="1" s="18">
      <c r="A25" s="27" t="inlineStr">
        <is>
          <t>E. Human Resources Security</t>
        </is>
      </c>
    </row>
    <row r="26" ht="27.75" customHeight="1" s="18">
      <c r="A26" s="30" t="inlineStr">
        <is>
          <t>E.1</t>
        </is>
      </c>
      <c r="B26" s="30" t="inlineStr">
        <is>
          <t>E.</t>
        </is>
      </c>
      <c r="C26" s="30" t="inlineStr">
        <is>
          <t>Are background checks performed for personnel with access to customer data?</t>
        </is>
      </c>
      <c r="D26" s="29" t="inlineStr">
        <is>
          <t>Yes</t>
        </is>
      </c>
      <c r="E26" s="30" t="inlineStr">
        <is>
          <t>Implemented per ISP. Refer to SOC 2 Type II Section IV (control mapping) and ISO/IEC 27001:2022 Statement of Applicability.</t>
        </is>
      </c>
    </row>
    <row r="27" ht="27.75" customHeight="1" s="18">
      <c r="A27" s="28" t="inlineStr">
        <is>
          <t>E.2</t>
        </is>
      </c>
      <c r="B27" s="28" t="inlineStr">
        <is>
          <t>E.</t>
        </is>
      </c>
      <c r="C27" s="28" t="inlineStr">
        <is>
          <t>Are confidentiality / non-disclosure agreements signed by all personnel?</t>
        </is>
      </c>
      <c r="D27" s="29" t="inlineStr">
        <is>
          <t>Yes</t>
        </is>
      </c>
      <c r="E27" s="28" t="inlineStr">
        <is>
          <t>Implemented per ISP. Refer to SOC 2 Type II Section IV (control mapping) and ISO/IEC 27001:2022 Statement of Applicability.</t>
        </is>
      </c>
    </row>
    <row r="28" ht="27.75" customHeight="1" s="18">
      <c r="A28" s="30" t="inlineStr">
        <is>
          <t>E.3</t>
        </is>
      </c>
      <c r="B28" s="30" t="inlineStr">
        <is>
          <t>E.</t>
        </is>
      </c>
      <c r="C28" s="30" t="inlineStr">
        <is>
          <t>Is a formal onboarding/offboarding process in place including access removal?</t>
        </is>
      </c>
      <c r="D28" s="29" t="inlineStr">
        <is>
          <t>Yes</t>
        </is>
      </c>
      <c r="E28" s="30" t="inlineStr">
        <is>
          <t>Implemented per ISP. Refer to SOC 2 Type II Section IV (control mapping) and ISO/IEC 27001:2022 Statement of Applicability.</t>
        </is>
      </c>
    </row>
    <row r="29" ht="27.75" customHeight="1" s="18">
      <c r="A29" s="28" t="inlineStr">
        <is>
          <t>E.4</t>
        </is>
      </c>
      <c r="B29" s="28" t="inlineStr">
        <is>
          <t>E.</t>
        </is>
      </c>
      <c r="C29" s="28" t="inlineStr">
        <is>
          <t>Are termination access changes performed within 24 hours of termination?</t>
        </is>
      </c>
      <c r="D29" s="29" t="inlineStr">
        <is>
          <t>Yes</t>
        </is>
      </c>
      <c r="E29" s="28" t="inlineStr">
        <is>
          <t>Implemented per ISP. Refer to SOC 2 Type II Section IV (control mapping) and ISO/IEC 27001:2022 Statement of Applicability.</t>
        </is>
      </c>
    </row>
    <row r="30" ht="21.75" customHeight="1" s="18">
      <c r="A30" s="27" t="inlineStr">
        <is>
          <t>F. Physical &amp; Environmental Security</t>
        </is>
      </c>
    </row>
    <row r="31" ht="27.75" customHeight="1" s="18">
      <c r="A31" s="28" t="inlineStr">
        <is>
          <t>F.1</t>
        </is>
      </c>
      <c r="B31" s="28" t="inlineStr">
        <is>
          <t>F.</t>
        </is>
      </c>
      <c r="C31" s="28" t="inlineStr">
        <is>
          <t>Are production facilities protected by multi-factor physical access controls?</t>
        </is>
      </c>
      <c r="D31" s="29" t="inlineStr">
        <is>
          <t>Yes</t>
        </is>
      </c>
      <c r="E31" s="28" t="inlineStr">
        <is>
          <t>Implemented per ISP. Refer to SOC 2 Type II Section IV (control mapping) and ISO/IEC 27001:2022 Statement of Applicability.</t>
        </is>
      </c>
    </row>
    <row r="32" ht="27.75" customHeight="1" s="18">
      <c r="A32" s="30" t="inlineStr">
        <is>
          <t>F.2</t>
        </is>
      </c>
      <c r="B32" s="30" t="inlineStr">
        <is>
          <t>F.</t>
        </is>
      </c>
      <c r="C32" s="30" t="inlineStr">
        <is>
          <t>Are visitor access logs maintained and reviewed?</t>
        </is>
      </c>
      <c r="D32" s="29" t="inlineStr">
        <is>
          <t>Yes</t>
        </is>
      </c>
      <c r="E32" s="30" t="inlineStr">
        <is>
          <t>Implemented per ISP. Refer to SOC 2 Type II Section IV (control mapping) and ISO/IEC 27001:2022 Statement of Applicability.</t>
        </is>
      </c>
    </row>
    <row r="33" ht="27.75" customHeight="1" s="18">
      <c r="A33" s="28" t="inlineStr">
        <is>
          <t>F.3</t>
        </is>
      </c>
      <c r="B33" s="28" t="inlineStr">
        <is>
          <t>F.</t>
        </is>
      </c>
      <c r="C33" s="28" t="inlineStr">
        <is>
          <t>Are environmental controls (UPS, cooling, fire suppression) implemented and tested?</t>
        </is>
      </c>
      <c r="D33" s="29" t="inlineStr">
        <is>
          <t>Yes</t>
        </is>
      </c>
      <c r="E33" s="28" t="inlineStr">
        <is>
          <t>Implemented per ISP. Refer to SOC 2 Type II Section IV (control mapping) and ISO/IEC 27001:2022 Statement of Applicability.</t>
        </is>
      </c>
    </row>
    <row r="34" ht="27.75" customHeight="1" s="18">
      <c r="A34" s="30" t="inlineStr">
        <is>
          <t>F.4</t>
        </is>
      </c>
      <c r="B34" s="30" t="inlineStr">
        <is>
          <t>F.</t>
        </is>
      </c>
      <c r="C34" s="30" t="inlineStr">
        <is>
          <t>Is CCTV coverage in place at production facilities, with retention &gt;= 90 days?</t>
        </is>
      </c>
      <c r="D34" s="29" t="inlineStr">
        <is>
          <t>Yes</t>
        </is>
      </c>
      <c r="E34" s="30" t="inlineStr">
        <is>
          <t>Implemented per ISP. Refer to SOC 2 Type II Section IV (control mapping) and ISO/IEC 27001:2022 Statement of Applicability.</t>
        </is>
      </c>
    </row>
    <row r="35" ht="27.75" customHeight="1" s="18">
      <c r="A35" s="28" t="inlineStr">
        <is>
          <t>F.5</t>
        </is>
      </c>
      <c r="B35" s="28" t="inlineStr">
        <is>
          <t>F.</t>
        </is>
      </c>
      <c r="C35" s="28" t="inlineStr">
        <is>
          <t>Are bank-customer data center tenants isolated from other customers physically and logically?</t>
        </is>
      </c>
      <c r="D35" s="29" t="inlineStr">
        <is>
          <t>Yes</t>
        </is>
      </c>
      <c r="E35" s="28" t="inlineStr">
        <is>
          <t>Implemented per ISP. Refer to SOC 2 Type II Section IV (control mapping) and ISO/IEC 27001:2022 Statement of Applicability.</t>
        </is>
      </c>
    </row>
    <row r="36" ht="21.75" customHeight="1" s="18">
      <c r="A36" s="27" t="inlineStr">
        <is>
          <t>G. Communications &amp; Operations Management</t>
        </is>
      </c>
    </row>
    <row r="37" ht="27.75" customHeight="1" s="18">
      <c r="A37" s="28" t="inlineStr">
        <is>
          <t>G.1</t>
        </is>
      </c>
      <c r="B37" s="28" t="inlineStr">
        <is>
          <t>G.</t>
        </is>
      </c>
      <c r="C37" s="28" t="inlineStr">
        <is>
          <t>Is there a documented and enforced password policy?</t>
        </is>
      </c>
      <c r="D37" s="31" t="inlineStr">
        <is>
          <t>See comment</t>
        </is>
      </c>
      <c r="E37" s="28" t="inlineStr">
        <is>
          <t>Implemented per ISP. Refer to SOC 2 Type II Section IV (control mapping) and ISO/IEC 27001:2022 Statement of Applicability.</t>
        </is>
      </c>
    </row>
    <row r="38" ht="27.75" customHeight="1" s="18">
      <c r="A38" s="30" t="inlineStr">
        <is>
          <t>G.2</t>
        </is>
      </c>
      <c r="B38" s="30" t="inlineStr">
        <is>
          <t>G.</t>
        </is>
      </c>
      <c r="C38" s="30" t="inlineStr">
        <is>
          <t>Do operational procedures cover patching, change, capacity, monitoring?</t>
        </is>
      </c>
      <c r="D38" s="29" t="inlineStr">
        <is>
          <t>Yes</t>
        </is>
      </c>
      <c r="E38" s="30" t="inlineStr">
        <is>
          <t>Implemented per ISP. Refer to SOC 2 Type II Section IV (control mapping) and ISO/IEC 27001:2022 Statement of Applicability.</t>
        </is>
      </c>
    </row>
    <row r="39" ht="27.75" customHeight="1" s="18">
      <c r="A39" s="28" t="inlineStr">
        <is>
          <t>G.3</t>
        </is>
      </c>
      <c r="B39" s="28" t="inlineStr">
        <is>
          <t>G.</t>
        </is>
      </c>
      <c r="C39" s="28" t="inlineStr">
        <is>
          <t>Is there segregation of duties between development and production environments?</t>
        </is>
      </c>
      <c r="D39" s="29" t="inlineStr">
        <is>
          <t>Yes</t>
        </is>
      </c>
      <c r="E39" s="28" t="inlineStr">
        <is>
          <t>Implemented per ISP. Refer to SOC 2 Type II Section IV (control mapping) and ISO/IEC 27001:2022 Statement of Applicability.</t>
        </is>
      </c>
    </row>
    <row r="40" ht="27.75" customHeight="1" s="18">
      <c r="A40" s="30" t="inlineStr">
        <is>
          <t>G.4</t>
        </is>
      </c>
      <c r="B40" s="30" t="inlineStr">
        <is>
          <t>G.</t>
        </is>
      </c>
      <c r="C40" s="30" t="inlineStr">
        <is>
          <t>Is multi-factor authentication required for all administrative access?</t>
        </is>
      </c>
      <c r="D40" s="32" t="inlineStr">
        <is>
          <t>See comment</t>
        </is>
      </c>
      <c r="E40" s="30" t="inlineStr">
        <is>
          <t>FIDO2 hardware tokens for all production access; TOTP fallback prohibited.</t>
        </is>
      </c>
    </row>
    <row r="41" ht="27.75" customHeight="1" s="18">
      <c r="A41" s="28" t="inlineStr">
        <is>
          <t>G.5</t>
        </is>
      </c>
      <c r="B41" s="28" t="inlineStr">
        <is>
          <t>G.</t>
        </is>
      </c>
      <c r="C41" s="28" t="inlineStr">
        <is>
          <t>Are anti-malware controls deployed on endpoints and servers?</t>
        </is>
      </c>
      <c r="D41" s="29" t="inlineStr">
        <is>
          <t>Yes</t>
        </is>
      </c>
      <c r="E41" s="28" t="inlineStr">
        <is>
          <t>Implemented per ISP. Refer to SOC 2 Type II Section IV (control mapping) and ISO/IEC 27001:2022 Statement of Applicability.</t>
        </is>
      </c>
    </row>
    <row r="42" ht="27.75" customHeight="1" s="18">
      <c r="A42" s="30" t="inlineStr">
        <is>
          <t>G.6</t>
        </is>
      </c>
      <c r="B42" s="30" t="inlineStr">
        <is>
          <t>G.</t>
        </is>
      </c>
      <c r="C42" s="30" t="inlineStr">
        <is>
          <t>Is system event logging enabled and retained for at least 12 months?</t>
        </is>
      </c>
      <c r="D42" s="29" t="inlineStr">
        <is>
          <t>Yes</t>
        </is>
      </c>
      <c r="E42" s="30" t="inlineStr">
        <is>
          <t>Implemented per ISP. Refer to SOC 2 Type II Section IV (control mapping) and ISO/IEC 27001:2022 Statement of Applicability.</t>
        </is>
      </c>
    </row>
    <row r="43" ht="27.75" customHeight="1" s="18">
      <c r="A43" s="28" t="inlineStr">
        <is>
          <t>G.7</t>
        </is>
      </c>
      <c r="B43" s="28" t="inlineStr">
        <is>
          <t>G.</t>
        </is>
      </c>
      <c r="C43" s="28" t="inlineStr">
        <is>
          <t>Are logs centrally aggregated and monitored for security events 24x7?</t>
        </is>
      </c>
      <c r="D43" s="29" t="inlineStr">
        <is>
          <t>Yes</t>
        </is>
      </c>
      <c r="E43" s="28" t="inlineStr">
        <is>
          <t>Implemented per ISP. Refer to SOC 2 Type II Section IV (control mapping) and ISO/IEC 27001:2022 Statement of Applicability.</t>
        </is>
      </c>
    </row>
    <row r="44" ht="21.75" customHeight="1" s="18">
      <c r="A44" s="27" t="inlineStr">
        <is>
          <t>H. Access Control</t>
        </is>
      </c>
    </row>
    <row r="45" ht="27.75" customHeight="1" s="18">
      <c r="A45" s="28" t="inlineStr">
        <is>
          <t>H.1</t>
        </is>
      </c>
      <c r="B45" s="28" t="inlineStr">
        <is>
          <t>H.</t>
        </is>
      </c>
      <c r="C45" s="28" t="inlineStr">
        <is>
          <t>Is access granted based on least-privilege and need-to-know?</t>
        </is>
      </c>
      <c r="D45" s="29" t="inlineStr">
        <is>
          <t>Yes</t>
        </is>
      </c>
      <c r="E45" s="28" t="inlineStr">
        <is>
          <t>Implemented per ISP. Refer to SOC 2 Type II Section IV (control mapping) and ISO/IEC 27001:2022 Statement of Applicability.</t>
        </is>
      </c>
    </row>
    <row r="46" ht="27.75" customHeight="1" s="18">
      <c r="A46" s="30" t="inlineStr">
        <is>
          <t>H.2</t>
        </is>
      </c>
      <c r="B46" s="30" t="inlineStr">
        <is>
          <t>H.</t>
        </is>
      </c>
      <c r="C46" s="30" t="inlineStr">
        <is>
          <t>Is data encrypted at rest in production and backup tiers?</t>
        </is>
      </c>
      <c r="D46" s="32" t="inlineStr">
        <is>
          <t>See comment</t>
        </is>
      </c>
      <c r="E46" s="30" t="inlineStr">
        <is>
          <t>Yes - AES-256-GCM with HSM-backed keys (Thales Luna, FIPS 140-2 Level 3). Per-tenant data encryption keys.</t>
        </is>
      </c>
    </row>
    <row r="47" ht="27.75" customHeight="1" s="18">
      <c r="A47" s="28" t="inlineStr">
        <is>
          <t>H.3</t>
        </is>
      </c>
      <c r="B47" s="28" t="inlineStr">
        <is>
          <t>H.</t>
        </is>
      </c>
      <c r="C47" s="28" t="inlineStr">
        <is>
          <t>Are encryption keys protected by HSM or equivalent FIPS 140-2 Level 3?</t>
        </is>
      </c>
      <c r="D47" s="29" t="inlineStr">
        <is>
          <t>Yes</t>
        </is>
      </c>
      <c r="E47" s="28" t="inlineStr">
        <is>
          <t>Implemented per ISP. Refer to SOC 2 Type II Section IV (control mapping) and ISO/IEC 27001:2022 Statement of Applicability.</t>
        </is>
      </c>
    </row>
    <row r="48" ht="27.75" customHeight="1" s="18">
      <c r="A48" s="30" t="inlineStr">
        <is>
          <t>H.4</t>
        </is>
      </c>
      <c r="B48" s="30" t="inlineStr">
        <is>
          <t>H.</t>
        </is>
      </c>
      <c r="C48" s="30" t="inlineStr">
        <is>
          <t>Are user access reviews performed at least quarterly for privileged accounts?</t>
        </is>
      </c>
      <c r="D48" s="29" t="inlineStr">
        <is>
          <t>Yes</t>
        </is>
      </c>
      <c r="E48" s="30" t="inlineStr">
        <is>
          <t>Implemented per ISP. Refer to SOC 2 Type II Section IV (control mapping) and ISO/IEC 27001:2022 Statement of Applicability.</t>
        </is>
      </c>
    </row>
    <row r="49" ht="27.75" customHeight="1" s="18">
      <c r="A49" s="28" t="inlineStr">
        <is>
          <t>H.5</t>
        </is>
      </c>
      <c r="B49" s="28" t="inlineStr">
        <is>
          <t>H.</t>
        </is>
      </c>
      <c r="C49" s="28" t="inlineStr">
        <is>
          <t>Is privileged access mediated by a Privileged Access Management (PAM) solution?</t>
        </is>
      </c>
      <c r="D49" s="29" t="inlineStr">
        <is>
          <t>Yes</t>
        </is>
      </c>
      <c r="E49" s="28" t="inlineStr">
        <is>
          <t>Implemented per ISP. Refer to SOC 2 Type II Section IV (control mapping) and ISO/IEC 27001:2022 Statement of Applicability.</t>
        </is>
      </c>
    </row>
    <row r="50" ht="27.75" customHeight="1" s="18">
      <c r="A50" s="30" t="inlineStr">
        <is>
          <t>H.6</t>
        </is>
      </c>
      <c r="B50" s="30" t="inlineStr">
        <is>
          <t>H.</t>
        </is>
      </c>
      <c r="C50" s="30" t="inlineStr">
        <is>
          <t>Is data encrypted in transit using TLS 1.2 or higher with secure cipher suites?</t>
        </is>
      </c>
      <c r="D50" s="32" t="inlineStr">
        <is>
          <t>See comment</t>
        </is>
      </c>
      <c r="E50" s="30" t="inlineStr">
        <is>
          <t>Yes - TLS 1.3 mandatory on all data planes; TLS 1.2 permitted only for legacy SFTP partner gateways with cipher allow-list.</t>
        </is>
      </c>
    </row>
    <row r="51" ht="27.75" customHeight="1" s="18">
      <c r="A51" s="28" t="inlineStr">
        <is>
          <t>H.7</t>
        </is>
      </c>
      <c r="B51" s="28" t="inlineStr">
        <is>
          <t>H.</t>
        </is>
      </c>
      <c r="C51" s="28" t="inlineStr">
        <is>
          <t>Are service accounts inventoried and rotated on a defined schedule?</t>
        </is>
      </c>
      <c r="D51" s="29" t="inlineStr">
        <is>
          <t>Yes</t>
        </is>
      </c>
      <c r="E51" s="28" t="inlineStr">
        <is>
          <t>Implemented per ISP. Refer to SOC 2 Type II Section IV (control mapping) and ISO/IEC 27001:2022 Statement of Applicability.</t>
        </is>
      </c>
    </row>
    <row r="52" ht="21.75" customHeight="1" s="18">
      <c r="A52" s="27" t="inlineStr">
        <is>
          <t>I. Info Systems Acquisition Dev &amp; Maintenance</t>
        </is>
      </c>
    </row>
    <row r="53" ht="27.75" customHeight="1" s="18">
      <c r="A53" s="28" t="inlineStr">
        <is>
          <t>I.1</t>
        </is>
      </c>
      <c r="B53" s="28" t="inlineStr">
        <is>
          <t>I.</t>
        </is>
      </c>
      <c r="C53" s="28" t="inlineStr">
        <is>
          <t>Is a Secure SDLC documented and followed?</t>
        </is>
      </c>
      <c r="D53" s="29" t="inlineStr">
        <is>
          <t>Yes</t>
        </is>
      </c>
      <c r="E53" s="28" t="inlineStr">
        <is>
          <t>Implemented per ISP. Refer to SOC 2 Type II Section IV (control mapping) and ISO/IEC 27001:2022 Statement of Applicability.</t>
        </is>
      </c>
    </row>
    <row r="54" ht="27.75" customHeight="1" s="18">
      <c r="A54" s="30" t="inlineStr">
        <is>
          <t>I.2</t>
        </is>
      </c>
      <c r="B54" s="30" t="inlineStr">
        <is>
          <t>I.</t>
        </is>
      </c>
      <c r="C54" s="30" t="inlineStr">
        <is>
          <t>Are backups taken at least daily, with cross-region replication for production data?</t>
        </is>
      </c>
      <c r="D54" s="32" t="inlineStr">
        <is>
          <t>See comment</t>
        </is>
      </c>
      <c r="E54" s="30" t="inlineStr">
        <is>
          <t>Implemented per ISP. Refer to SOC 2 Type II Section IV (control mapping) and ISO/IEC 27001:2022 Statement of Applicability.</t>
        </is>
      </c>
    </row>
    <row r="55" ht="27.75" customHeight="1" s="18">
      <c r="A55" s="28" t="inlineStr">
        <is>
          <t>I.3</t>
        </is>
      </c>
      <c r="B55" s="28" t="inlineStr">
        <is>
          <t>I.</t>
        </is>
      </c>
      <c r="C55" s="28" t="inlineStr">
        <is>
          <t>Are backup restorations tested at least semi-annually?</t>
        </is>
      </c>
      <c r="D55" s="29" t="inlineStr">
        <is>
          <t>Yes</t>
        </is>
      </c>
      <c r="E55" s="28" t="inlineStr">
        <is>
          <t>Restore tests performed quarterly; last successful test 2026-03-14 (cross-region restore from Frankfurt to London tier-1 PostgreSQL).</t>
        </is>
      </c>
    </row>
    <row r="56" ht="27.75" customHeight="1" s="18">
      <c r="A56" s="30" t="inlineStr">
        <is>
          <t>I.4</t>
        </is>
      </c>
      <c r="B56" s="30" t="inlineStr">
        <is>
          <t>I.</t>
        </is>
      </c>
      <c r="C56" s="30" t="inlineStr">
        <is>
          <t>Is application security testing (SAST/DAST/SCA) performed prior to production releases?</t>
        </is>
      </c>
      <c r="D56" s="29" t="inlineStr">
        <is>
          <t>Yes</t>
        </is>
      </c>
      <c r="E56" s="30" t="inlineStr">
        <is>
          <t>Implemented per ISP. Refer to SOC 2 Type II Section IV (control mapping) and ISO/IEC 27001:2022 Statement of Applicability.</t>
        </is>
      </c>
    </row>
    <row r="57" ht="27.75" customHeight="1" s="18">
      <c r="A57" s="28" t="inlineStr">
        <is>
          <t>I.5</t>
        </is>
      </c>
      <c r="B57" s="28" t="inlineStr">
        <is>
          <t>I.</t>
        </is>
      </c>
      <c r="C57" s="28" t="inlineStr">
        <is>
          <t>Is a Software Bill of Materials (SBOM) maintained for production applications?</t>
        </is>
      </c>
      <c r="D57" s="29" t="inlineStr">
        <is>
          <t>Yes</t>
        </is>
      </c>
      <c r="E57" s="28" t="inlineStr">
        <is>
          <t>Implemented per ISP. Refer to SOC 2 Type II Section IV (control mapping) and ISO/IEC 27001:2022 Statement of Applicability.</t>
        </is>
      </c>
    </row>
    <row r="58" ht="27.75" customHeight="1" s="18">
      <c r="A58" s="30" t="inlineStr">
        <is>
          <t>I.6</t>
        </is>
      </c>
      <c r="B58" s="30" t="inlineStr">
        <is>
          <t>I.</t>
        </is>
      </c>
      <c r="C58" s="30" t="inlineStr">
        <is>
          <t>Are open-source components scanned for vulnerabilities continuously?</t>
        </is>
      </c>
      <c r="D58" s="29" t="inlineStr">
        <is>
          <t>Yes</t>
        </is>
      </c>
      <c r="E58" s="30" t="inlineStr">
        <is>
          <t>Implemented per ISP. Refer to SOC 2 Type II Section IV (control mapping) and ISO/IEC 27001:2022 Statement of Applicability.</t>
        </is>
      </c>
    </row>
    <row r="59" ht="27.75" customHeight="1" s="18">
      <c r="A59" s="28" t="inlineStr">
        <is>
          <t>I.7</t>
        </is>
      </c>
      <c r="B59" s="28" t="inlineStr">
        <is>
          <t>I.</t>
        </is>
      </c>
      <c r="C59" s="28" t="inlineStr">
        <is>
          <t>Are production changes peer-reviewed and approved before deployment?</t>
        </is>
      </c>
      <c r="D59" s="29" t="inlineStr">
        <is>
          <t>Yes</t>
        </is>
      </c>
      <c r="E59" s="28" t="inlineStr">
        <is>
          <t>Implemented per ISP. Refer to SOC 2 Type II Section IV (control mapping) and ISO/IEC 27001:2022 Statement of Applicability.</t>
        </is>
      </c>
    </row>
    <row r="60" ht="21.75" customHeight="1" s="18">
      <c r="A60" s="27" t="inlineStr">
        <is>
          <t>J. Incident Event &amp; Communications</t>
        </is>
      </c>
    </row>
    <row r="61" ht="27.75" customHeight="1" s="18">
      <c r="A61" s="28" t="inlineStr">
        <is>
          <t>J.1</t>
        </is>
      </c>
      <c r="B61" s="28" t="inlineStr">
        <is>
          <t>J.</t>
        </is>
      </c>
      <c r="C61" s="28" t="inlineStr">
        <is>
          <t>Is there a documented Incident Response (IR) plan?</t>
        </is>
      </c>
      <c r="D61" s="31" t="inlineStr">
        <is>
          <t>See comment</t>
        </is>
      </c>
      <c r="E61" s="28" t="inlineStr">
        <is>
          <t>Implemented per ISP. Refer to SOC 2 Type II Section IV (control mapping) and ISO/IEC 27001:2022 Statement of Applicability.</t>
        </is>
      </c>
    </row>
    <row r="62" ht="27.75" customHeight="1" s="18">
      <c r="A62" s="30" t="inlineStr">
        <is>
          <t>J.2</t>
        </is>
      </c>
      <c r="B62" s="30" t="inlineStr">
        <is>
          <t>J.</t>
        </is>
      </c>
      <c r="C62" s="30" t="inlineStr">
        <is>
          <t>Is the IR plan tested at least annually (tabletop or live)?</t>
        </is>
      </c>
      <c r="D62" s="29" t="inlineStr">
        <is>
          <t>Yes</t>
        </is>
      </c>
      <c r="E62" s="30" t="inlineStr">
        <is>
          <t>Implemented per ISP. Refer to SOC 2 Type II Section IV (control mapping) and ISO/IEC 27001:2022 Statement of Applicability.</t>
        </is>
      </c>
    </row>
    <row r="63" ht="27.75" customHeight="1" s="18">
      <c r="A63" s="28" t="inlineStr">
        <is>
          <t>J.3</t>
        </is>
      </c>
      <c r="B63" s="28" t="inlineStr">
        <is>
          <t>J.</t>
        </is>
      </c>
      <c r="C63" s="28" t="inlineStr">
        <is>
          <t>Are customers notified of confirmed security incidents within 72 hours?</t>
        </is>
      </c>
      <c r="D63" s="29" t="inlineStr">
        <is>
          <t>Yes</t>
        </is>
      </c>
      <c r="E63" s="28" t="inlineStr">
        <is>
          <t>Implemented per ISP. Refer to SOC 2 Type II Section IV (control mapping) and ISO/IEC 27001:2022 Statement of Applicability.</t>
        </is>
      </c>
    </row>
    <row r="64" ht="27.75" customHeight="1" s="18">
      <c r="A64" s="30" t="inlineStr">
        <is>
          <t>J.4</t>
        </is>
      </c>
      <c r="B64" s="30" t="inlineStr">
        <is>
          <t>J.</t>
        </is>
      </c>
      <c r="C64" s="30" t="inlineStr">
        <is>
          <t>Do you maintain a 24x7 security operations capability?</t>
        </is>
      </c>
      <c r="D64" s="29" t="inlineStr">
        <is>
          <t>Yes</t>
        </is>
      </c>
      <c r="E64" s="30" t="inlineStr">
        <is>
          <t>Implemented per ISP. Refer to SOC 2 Type II Section IV (control mapping) and ISO/IEC 27001:2022 Statement of Applicability.</t>
        </is>
      </c>
    </row>
    <row r="65" ht="27.75" customHeight="1" s="18">
      <c r="A65" s="28" t="inlineStr">
        <is>
          <t>J.5</t>
        </is>
      </c>
      <c r="B65" s="28" t="inlineStr">
        <is>
          <t>J.</t>
        </is>
      </c>
      <c r="C65" s="28" t="inlineStr">
        <is>
          <t>Is a documented Business Continuity Plan in place with RTO/RPO targets?</t>
        </is>
      </c>
      <c r="D65" s="31" t="inlineStr">
        <is>
          <t>See comment</t>
        </is>
      </c>
      <c r="E65" s="28" t="inlineStr">
        <is>
          <t>Implemented per ISP. Refer to SOC 2 Type II Section IV (control mapping) and ISO/IEC 27001:2022 Statement of Applicability.</t>
        </is>
      </c>
    </row>
    <row r="66" ht="27.75" customHeight="1" s="18">
      <c r="A66" s="30" t="inlineStr">
        <is>
          <t>J.6</t>
        </is>
      </c>
      <c r="B66" s="30" t="inlineStr">
        <is>
          <t>J.</t>
        </is>
      </c>
      <c r="C66" s="30" t="inlineStr">
        <is>
          <t>Has the BCP been live-tested (real failover) within the last 12 months?</t>
        </is>
      </c>
      <c r="D66" s="32" t="inlineStr">
        <is>
          <t>See comment</t>
        </is>
      </c>
      <c r="E66" s="30" t="inlineStr">
        <is>
          <t>Implemented per ISP. Refer to SOC 2 Type II Section IV (control mapping) and ISO/IEC 27001:2022 Statement of Applicability.</t>
        </is>
      </c>
    </row>
    <row r="67" ht="27.75" customHeight="1" s="18">
      <c r="A67" s="28" t="inlineStr">
        <is>
          <t>J.7</t>
        </is>
      </c>
      <c r="B67" s="28" t="inlineStr">
        <is>
          <t>J.</t>
        </is>
      </c>
      <c r="C67" s="28" t="inlineStr">
        <is>
          <t>Do you participate in industry threat-sharing communities (e.g., FS-ISAC)?</t>
        </is>
      </c>
      <c r="D67" s="29" t="inlineStr">
        <is>
          <t>Yes</t>
        </is>
      </c>
      <c r="E67" s="28" t="inlineStr">
        <is>
          <t>Implemented per ISP. Refer to SOC 2 Type II Section IV (control mapping) and ISO/IEC 27001:2022 Statement of Applicability.</t>
        </is>
      </c>
    </row>
    <row r="68" ht="21.75" customHeight="1" s="18">
      <c r="A68" s="27" t="inlineStr">
        <is>
          <t>K. Operational Resilience</t>
        </is>
      </c>
    </row>
    <row r="69" ht="27.75" customHeight="1" s="18">
      <c r="A69" s="28" t="inlineStr">
        <is>
          <t>K.1</t>
        </is>
      </c>
      <c r="B69" s="28" t="inlineStr">
        <is>
          <t>K.</t>
        </is>
      </c>
      <c r="C69" s="28" t="inlineStr">
        <is>
          <t>Are critical service dependencies mapped and reviewed annually?</t>
        </is>
      </c>
      <c r="D69" s="29" t="inlineStr">
        <is>
          <t>Yes</t>
        </is>
      </c>
      <c r="E69" s="28" t="inlineStr">
        <is>
          <t>Implemented per ISP. Refer to SOC 2 Type II Section IV (control mapping) and ISO/IEC 27001:2022 Statement of Applicability.</t>
        </is>
      </c>
    </row>
    <row r="70" ht="27.75" customHeight="1" s="18">
      <c r="A70" s="30" t="inlineStr">
        <is>
          <t>K.2</t>
        </is>
      </c>
      <c r="B70" s="30" t="inlineStr">
        <is>
          <t>K.</t>
        </is>
      </c>
      <c r="C70" s="30" t="inlineStr">
        <is>
          <t>Are recovery time objectives documented per service tier?</t>
        </is>
      </c>
      <c r="D70" s="29" t="inlineStr">
        <is>
          <t>Yes</t>
        </is>
      </c>
      <c r="E70" s="30" t="inlineStr">
        <is>
          <t>Implemented per ISP. Refer to SOC 2 Type II Section IV (control mapping) and ISO/IEC 27001:2022 Statement of Applicability.</t>
        </is>
      </c>
    </row>
    <row r="71" ht="27.75" customHeight="1" s="18">
      <c r="A71" s="28" t="inlineStr">
        <is>
          <t>K.3</t>
        </is>
      </c>
      <c r="B71" s="28" t="inlineStr">
        <is>
          <t>K.</t>
        </is>
      </c>
      <c r="C71" s="28" t="inlineStr">
        <is>
          <t>Is there a documented capacity management process?</t>
        </is>
      </c>
      <c r="D71" s="29" t="inlineStr">
        <is>
          <t>Yes</t>
        </is>
      </c>
      <c r="E71" s="28" t="inlineStr">
        <is>
          <t>Implemented per ISP. Refer to SOC 2 Type II Section IV (control mapping) and ISO/IEC 27001:2022 Statement of Applicability.</t>
        </is>
      </c>
    </row>
    <row r="72" ht="27.75" customHeight="1" s="18">
      <c r="A72" s="30" t="inlineStr">
        <is>
          <t>K.4</t>
        </is>
      </c>
      <c r="B72" s="30" t="inlineStr">
        <is>
          <t>K.</t>
        </is>
      </c>
      <c r="C72" s="30" t="inlineStr">
        <is>
          <t>Are pandemic and geographic concentration risks formally assessed?</t>
        </is>
      </c>
      <c r="D72" s="29" t="inlineStr">
        <is>
          <t>Yes</t>
        </is>
      </c>
      <c r="E72" s="30" t="inlineStr">
        <is>
          <t>Implemented per ISP. Refer to SOC 2 Type II Section IV (control mapping) and ISO/IEC 27001:2022 Statement of Applicability.</t>
        </is>
      </c>
    </row>
    <row r="73" ht="27.75" customHeight="1" s="18">
      <c r="A73" s="28" t="inlineStr">
        <is>
          <t>K.5</t>
        </is>
      </c>
      <c r="B73" s="28" t="inlineStr">
        <is>
          <t>K.</t>
        </is>
      </c>
      <c r="C73" s="28" t="inlineStr">
        <is>
          <t>Is data segregated by tenant in multi-tenant environments?</t>
        </is>
      </c>
      <c r="D73" s="29" t="inlineStr">
        <is>
          <t>Yes</t>
        </is>
      </c>
      <c r="E73" s="28" t="inlineStr">
        <is>
          <t>Implemented per ISP. Refer to SOC 2 Type II Section IV (control mapping) and ISO/IEC 27001:2022 Statement of Applicability.</t>
        </is>
      </c>
    </row>
    <row r="74" ht="27.75" customHeight="1" s="18">
      <c r="A74" s="30" t="inlineStr">
        <is>
          <t>K.6</t>
        </is>
      </c>
      <c r="B74" s="30" t="inlineStr">
        <is>
          <t>K.</t>
        </is>
      </c>
      <c r="C74" s="30" t="inlineStr">
        <is>
          <t>What is the data retention period for customer data after contract termination?</t>
        </is>
      </c>
      <c r="D74" s="32" t="inlineStr">
        <is>
          <t>See comment</t>
        </is>
      </c>
      <c r="E74" s="30" t="inlineStr">
        <is>
          <t>Implemented per ISP. Refer to SOC 2 Type II Section IV (control mapping) and ISO/IEC 27001:2022 Statement of Applicability.</t>
        </is>
      </c>
    </row>
    <row r="75" ht="21.75" customHeight="1" s="18">
      <c r="A75" s="27" t="inlineStr">
        <is>
          <t>L. Compliance</t>
        </is>
      </c>
    </row>
    <row r="76" ht="27.75" customHeight="1" s="18">
      <c r="A76" s="30" t="inlineStr">
        <is>
          <t>L.1</t>
        </is>
      </c>
      <c r="B76" s="30" t="inlineStr">
        <is>
          <t>L.</t>
        </is>
      </c>
      <c r="C76" s="30" t="inlineStr">
        <is>
          <t>Are applicable legal, regulatory and contractual obligations identified and tracked?</t>
        </is>
      </c>
      <c r="D76" s="29" t="inlineStr">
        <is>
          <t>Yes</t>
        </is>
      </c>
      <c r="E76" s="30" t="inlineStr">
        <is>
          <t>Implemented per ISP. Refer to SOC 2 Type II Section IV (control mapping) and ISO/IEC 27001:2022 Statement of Applicability.</t>
        </is>
      </c>
    </row>
    <row r="77" ht="27.75" customHeight="1" s="18">
      <c r="A77" s="28" t="inlineStr">
        <is>
          <t>L.2</t>
        </is>
      </c>
      <c r="B77" s="28" t="inlineStr">
        <is>
          <t>L.</t>
        </is>
      </c>
      <c r="C77" s="28" t="inlineStr">
        <is>
          <t>Is privacy compliance (GDPR / CCPA / etc.) explicitly governed?</t>
        </is>
      </c>
      <c r="D77" s="29" t="inlineStr">
        <is>
          <t>Yes</t>
        </is>
      </c>
      <c r="E77" s="28" t="inlineStr">
        <is>
          <t>Implemented per ISP. Refer to SOC 2 Type II Section IV (control mapping) and ISO/IEC 27001:2022 Statement of Applicability.</t>
        </is>
      </c>
    </row>
    <row r="78" ht="27.75" customHeight="1" s="18">
      <c r="A78" s="30" t="inlineStr">
        <is>
          <t>L.3</t>
        </is>
      </c>
      <c r="B78" s="30" t="inlineStr">
        <is>
          <t>L.</t>
        </is>
      </c>
      <c r="C78" s="30" t="inlineStr">
        <is>
          <t>Are Data Processing Agreements (DPAs) executed with customers as required?</t>
        </is>
      </c>
      <c r="D78" s="29" t="inlineStr">
        <is>
          <t>Yes</t>
        </is>
      </c>
      <c r="E78" s="30" t="inlineStr">
        <is>
          <t>Implemented per ISP. Refer to SOC 2 Type II Section IV (control mapping) and ISO/IEC 27001:2022 Statement of Applicability.</t>
        </is>
      </c>
    </row>
    <row r="79" ht="27.75" customHeight="1" s="18">
      <c r="A79" s="28" t="inlineStr">
        <is>
          <t>L.4</t>
        </is>
      </c>
      <c r="B79" s="28" t="inlineStr">
        <is>
          <t>L.</t>
        </is>
      </c>
      <c r="C79" s="28" t="inlineStr">
        <is>
          <t>Is customer data exported only to jurisdictions disclosed in the DPA?</t>
        </is>
      </c>
      <c r="D79" s="29" t="inlineStr">
        <is>
          <t>Yes</t>
        </is>
      </c>
      <c r="E79" s="28" t="inlineStr">
        <is>
          <t>Customer data is processed in EEA (LON/FRA) only. Application telemetry processed by Datadog regional cluster; APAC fallback documented in operational runbooks.</t>
        </is>
      </c>
    </row>
    <row r="80" ht="21.75" customHeight="1" s="18">
      <c r="A80" s="27" t="inlineStr">
        <is>
          <t>M. End User Device</t>
        </is>
      </c>
    </row>
    <row r="81" ht="27.75" customHeight="1" s="18">
      <c r="A81" s="28" t="inlineStr">
        <is>
          <t>M.1</t>
        </is>
      </c>
      <c r="B81" s="28" t="inlineStr">
        <is>
          <t>M.</t>
        </is>
      </c>
      <c r="C81" s="28" t="inlineStr">
        <is>
          <t>Are end-user devices managed by a corporate MDM/EMM solution?</t>
        </is>
      </c>
      <c r="D81" s="29" t="inlineStr">
        <is>
          <t>Yes</t>
        </is>
      </c>
      <c r="E81" s="28" t="inlineStr">
        <is>
          <t>Implemented per ISP. Refer to SOC 2 Type II Section IV (control mapping) and ISO/IEC 27001:2022 Statement of Applicability.</t>
        </is>
      </c>
    </row>
    <row r="82" ht="27.75" customHeight="1" s="18">
      <c r="A82" s="30" t="inlineStr">
        <is>
          <t>M.2</t>
        </is>
      </c>
      <c r="B82" s="30" t="inlineStr">
        <is>
          <t>M.</t>
        </is>
      </c>
      <c r="C82" s="30" t="inlineStr">
        <is>
          <t>Are end-user devices required to have full-disk encryption enabled?</t>
        </is>
      </c>
      <c r="D82" s="29" t="inlineStr">
        <is>
          <t>Yes</t>
        </is>
      </c>
      <c r="E82" s="30" t="inlineStr">
        <is>
          <t>Implemented per ISP. Refer to SOC 2 Type II Section IV (control mapping) and ISO/IEC 27001:2022 Statement of Applicability.</t>
        </is>
      </c>
    </row>
    <row r="83" ht="27.75" customHeight="1" s="18">
      <c r="A83" s="28" t="inlineStr">
        <is>
          <t>M.3</t>
        </is>
      </c>
      <c r="B83" s="28" t="inlineStr">
        <is>
          <t>M.</t>
        </is>
      </c>
      <c r="C83" s="28" t="inlineStr">
        <is>
          <t>Is endpoint detection and response (EDR) deployed on all production-access endpoints?</t>
        </is>
      </c>
      <c r="D83" s="29" t="inlineStr">
        <is>
          <t>Yes</t>
        </is>
      </c>
      <c r="E83" s="28" t="inlineStr">
        <is>
          <t>Implemented per ISP. Refer to SOC 2 Type II Section IV (control mapping) and ISO/IEC 27001:2022 Statement of Applicability.</t>
        </is>
      </c>
    </row>
    <row r="84" ht="27.75" customHeight="1" s="18">
      <c r="A84" s="30" t="inlineStr">
        <is>
          <t>M.4</t>
        </is>
      </c>
      <c r="B84" s="30" t="inlineStr">
        <is>
          <t>M.</t>
        </is>
      </c>
      <c r="C84" s="30" t="inlineStr">
        <is>
          <t>Are USB and removable media controls in place to prevent unauthorized data egress?</t>
        </is>
      </c>
      <c r="D84" s="29" t="inlineStr">
        <is>
          <t>Yes</t>
        </is>
      </c>
      <c r="E84" s="30" t="inlineStr">
        <is>
          <t>Implemented per ISP. Refer to SOC 2 Type II Section IV (control mapping) and ISO/IEC 27001:2022 Statement of Applicability.</t>
        </is>
      </c>
    </row>
    <row r="85" ht="27.75" customHeight="1" s="18">
      <c r="A85" s="28" t="inlineStr">
        <is>
          <t>M.5</t>
        </is>
      </c>
      <c r="B85" s="28" t="inlineStr">
        <is>
          <t>M.</t>
        </is>
      </c>
      <c r="C85" s="28" t="inlineStr">
        <is>
          <t>Is Data Loss Prevention (DLP) deployed?</t>
        </is>
      </c>
      <c r="D85" s="31" t="inlineStr">
        <is>
          <t>See comment</t>
        </is>
      </c>
      <c r="E85" s="28" t="inlineStr">
        <is>
          <t>Implemented per ISP. Refer to SOC 2 Type II Section IV (control mapping) and ISO/IEC 27001:2022 Statement of Applicability.</t>
        </is>
      </c>
    </row>
    <row r="86" ht="21.75" customHeight="1" s="18">
      <c r="A86" s="27" t="inlineStr">
        <is>
          <t>N. Network Security</t>
        </is>
      </c>
    </row>
    <row r="87" ht="27.75" customHeight="1" s="18">
      <c r="A87" s="28" t="inlineStr">
        <is>
          <t>N.1</t>
        </is>
      </c>
      <c r="B87" s="28" t="inlineStr">
        <is>
          <t>N.</t>
        </is>
      </c>
      <c r="C87" s="28" t="inlineStr">
        <is>
          <t>Are production networks segmented from corporate networks?</t>
        </is>
      </c>
      <c r="D87" s="29" t="inlineStr">
        <is>
          <t>Yes</t>
        </is>
      </c>
      <c r="E87" s="28" t="inlineStr">
        <is>
          <t>Implemented per ISP. Refer to SOC 2 Type II Section IV (control mapping) and ISO/IEC 27001:2022 Statement of Applicability.</t>
        </is>
      </c>
    </row>
    <row r="88" ht="27.75" customHeight="1" s="18">
      <c r="A88" s="30" t="inlineStr">
        <is>
          <t>N.2</t>
        </is>
      </c>
      <c r="B88" s="30" t="inlineStr">
        <is>
          <t>N.</t>
        </is>
      </c>
      <c r="C88" s="30" t="inlineStr">
        <is>
          <t>Are external penetration tests performed at least annually by an independent firm?</t>
        </is>
      </c>
      <c r="D88" s="32" t="inlineStr">
        <is>
          <t>See comment</t>
        </is>
      </c>
      <c r="E88" s="30" t="inlineStr">
        <is>
          <t>2025-01-22</t>
        </is>
      </c>
    </row>
    <row r="89" ht="27.75" customHeight="1" s="18">
      <c r="A89" s="28" t="inlineStr">
        <is>
          <t>N.3</t>
        </is>
      </c>
      <c r="B89" s="28" t="inlineStr">
        <is>
          <t>N.</t>
        </is>
      </c>
      <c r="C89" s="28" t="inlineStr">
        <is>
          <t>Are penetration test reports made available to customers under NDA?</t>
        </is>
      </c>
      <c r="D89" s="29" t="inlineStr">
        <is>
          <t>Yes</t>
        </is>
      </c>
      <c r="E89" s="28" t="inlineStr">
        <is>
          <t>Implemented per ISP. Refer to SOC 2 Type II Section IV (control mapping) and ISO/IEC 27001:2022 Statement of Applicability.</t>
        </is>
      </c>
    </row>
    <row r="90" ht="27.75" customHeight="1" s="18">
      <c r="A90" s="30" t="inlineStr">
        <is>
          <t>N.4</t>
        </is>
      </c>
      <c r="B90" s="30" t="inlineStr">
        <is>
          <t>N.</t>
        </is>
      </c>
      <c r="C90" s="30" t="inlineStr">
        <is>
          <t>Is vulnerability remediation tracked against documented SLAs?</t>
        </is>
      </c>
      <c r="D90" s="32" t="inlineStr">
        <is>
          <t>See comment</t>
        </is>
      </c>
      <c r="E90" s="30" t="inlineStr">
        <is>
          <t>Implemented per ISP. Refer to SOC 2 Type II Section IV (control mapping) and ISO/IEC 27001:2022 Statement of Applicability.</t>
        </is>
      </c>
    </row>
    <row r="91" ht="27.75" customHeight="1" s="18">
      <c r="A91" s="28" t="inlineStr">
        <is>
          <t>N.5</t>
        </is>
      </c>
      <c r="B91" s="28" t="inlineStr">
        <is>
          <t>N.</t>
        </is>
      </c>
      <c r="C91" s="28" t="inlineStr">
        <is>
          <t>Are inbound services protected by WAF / DDoS protection?</t>
        </is>
      </c>
      <c r="D91" s="29" t="inlineStr">
        <is>
          <t>Yes</t>
        </is>
      </c>
      <c r="E91" s="28" t="inlineStr">
        <is>
          <t>Implemented per ISP. Refer to SOC 2 Type II Section IV (control mapping) and ISO/IEC 27001:2022 Statement of Applicability.</t>
        </is>
      </c>
    </row>
    <row r="92" ht="27.75" customHeight="1" s="18">
      <c r="A92" s="30" t="inlineStr">
        <is>
          <t>N.6</t>
        </is>
      </c>
      <c r="B92" s="30" t="inlineStr">
        <is>
          <t>N.</t>
        </is>
      </c>
      <c r="C92" s="30" t="inlineStr">
        <is>
          <t>Is intrusion detection/prevention deployed with 24x7 monitoring?</t>
        </is>
      </c>
      <c r="D92" s="29" t="inlineStr">
        <is>
          <t>Yes</t>
        </is>
      </c>
      <c r="E92" s="30" t="inlineStr">
        <is>
          <t>Implemented per ISP. Refer to SOC 2 Type II Section IV (control mapping) and ISO/IEC 27001:2022 Statement of Applicability.</t>
        </is>
      </c>
    </row>
    <row r="93" ht="27.75" customHeight="1" s="18">
      <c r="A93" s="28" t="inlineStr">
        <is>
          <t>N.7</t>
        </is>
      </c>
      <c r="B93" s="28" t="inlineStr">
        <is>
          <t>N.</t>
        </is>
      </c>
      <c r="C93" s="28" t="inlineStr">
        <is>
          <t>Are firewall rule reviews performed at least every 6 months?</t>
        </is>
      </c>
      <c r="D93" s="29" t="inlineStr">
        <is>
          <t>Yes</t>
        </is>
      </c>
      <c r="E93" s="28" t="inlineStr">
        <is>
          <t>Implemented per ISP. Refer to SOC 2 Type II Section IV (control mapping) and ISO/IEC 27001:2022 Statement of Applicability.</t>
        </is>
      </c>
    </row>
    <row r="94" ht="21.75" customHeight="1" s="18">
      <c r="A94" s="27" t="inlineStr">
        <is>
          <t>O. Privacy</t>
        </is>
      </c>
    </row>
    <row r="95" ht="27.75" customHeight="1" s="18">
      <c r="A95" s="28" t="inlineStr">
        <is>
          <t>O.1</t>
        </is>
      </c>
      <c r="B95" s="28" t="inlineStr">
        <is>
          <t>O.</t>
        </is>
      </c>
      <c r="C95" s="28" t="inlineStr">
        <is>
          <t>Is there a designated Data Protection Officer (DPO) where required by law?</t>
        </is>
      </c>
      <c r="D95" s="29" t="inlineStr">
        <is>
          <t>Yes</t>
        </is>
      </c>
      <c r="E95" s="28" t="inlineStr">
        <is>
          <t>Implemented per ISP. Refer to SOC 2 Type II Section IV (control mapping) and ISO/IEC 27001:2022 Statement of Applicability.</t>
        </is>
      </c>
    </row>
    <row r="96" ht="27.75" customHeight="1" s="18">
      <c r="A96" s="30" t="inlineStr">
        <is>
          <t>O.2</t>
        </is>
      </c>
      <c r="B96" s="30" t="inlineStr">
        <is>
          <t>O.</t>
        </is>
      </c>
      <c r="C96" s="30" t="inlineStr">
        <is>
          <t>Is a Privacy Impact Assessment performed for high-risk processing?</t>
        </is>
      </c>
      <c r="D96" s="29" t="inlineStr">
        <is>
          <t>Yes</t>
        </is>
      </c>
      <c r="E96" s="30" t="inlineStr">
        <is>
          <t>Implemented per ISP. Refer to SOC 2 Type II Section IV (control mapping) and ISO/IEC 27001:2022 Statement of Applicability.</t>
        </is>
      </c>
    </row>
    <row r="97" ht="27.75" customHeight="1" s="18">
      <c r="A97" s="28" t="inlineStr">
        <is>
          <t>O.3</t>
        </is>
      </c>
      <c r="B97" s="28" t="inlineStr">
        <is>
          <t>O.</t>
        </is>
      </c>
      <c r="C97" s="28" t="inlineStr">
        <is>
          <t>Are data subject rights (access/erasure/portability) operationalized with SLAs?</t>
        </is>
      </c>
      <c r="D97" s="29" t="inlineStr">
        <is>
          <t>Yes</t>
        </is>
      </c>
      <c r="E97" s="28" t="inlineStr">
        <is>
          <t>Implemented per ISP. Refer to SOC 2 Type II Section IV (control mapping) and ISO/IEC 27001:2022 Statement of Applicability.</t>
        </is>
      </c>
    </row>
    <row r="98" ht="27.75" customHeight="1" s="18">
      <c r="A98" s="30" t="inlineStr">
        <is>
          <t>O.4</t>
        </is>
      </c>
      <c r="B98" s="30" t="inlineStr">
        <is>
          <t>O.</t>
        </is>
      </c>
      <c r="C98" s="30" t="inlineStr">
        <is>
          <t>Are international data transfers protected by SCCs / adequacy decisions?</t>
        </is>
      </c>
      <c r="D98" s="29" t="inlineStr">
        <is>
          <t>Yes</t>
        </is>
      </c>
      <c r="E98" s="30" t="inlineStr">
        <is>
          <t>Implemented per ISP. Refer to SOC 2 Type II Section IV (control mapping) and ISO/IEC 27001:2022 Statement of Applicability.</t>
        </is>
      </c>
    </row>
    <row r="99" ht="27.75" customHeight="1" s="18">
      <c r="A99" s="28" t="inlineStr">
        <is>
          <t>O.5</t>
        </is>
      </c>
      <c r="B99" s="28" t="inlineStr">
        <is>
          <t>O.</t>
        </is>
      </c>
      <c r="C99" s="28" t="inlineStr">
        <is>
          <t>Are special category / sensitive personal data flagged and subject to enhanced controls?</t>
        </is>
      </c>
      <c r="D99" s="29" t="inlineStr">
        <is>
          <t>Yes</t>
        </is>
      </c>
      <c r="E99" s="28" t="inlineStr">
        <is>
          <t>Implemented per ISP. Refer to SOC 2 Type II Section IV (control mapping) and ISO/IEC 27001:2022 Statement of Applicability.</t>
        </is>
      </c>
    </row>
    <row r="100" ht="21.75" customHeight="1" s="18">
      <c r="A100" s="27" t="inlineStr">
        <is>
          <t>P. Threat Management</t>
        </is>
      </c>
    </row>
    <row r="101" ht="27.75" customHeight="1" s="18">
      <c r="A101" s="28" t="inlineStr">
        <is>
          <t>P.1</t>
        </is>
      </c>
      <c r="B101" s="28" t="inlineStr">
        <is>
          <t>P.</t>
        </is>
      </c>
      <c r="C101" s="28" t="inlineStr">
        <is>
          <t>Is a threat intelligence program in place and integrated with SOC operations?</t>
        </is>
      </c>
      <c r="D101" s="29" t="inlineStr">
        <is>
          <t>Yes</t>
        </is>
      </c>
      <c r="E101" s="28" t="inlineStr">
        <is>
          <t>Implemented per ISP. Refer to SOC 2 Type II Section IV (control mapping) and ISO/IEC 27001:2022 Statement of Applicability.</t>
        </is>
      </c>
    </row>
    <row r="102" ht="27.75" customHeight="1" s="18">
      <c r="A102" s="30" t="inlineStr">
        <is>
          <t>P.2</t>
        </is>
      </c>
      <c r="B102" s="30" t="inlineStr">
        <is>
          <t>P.</t>
        </is>
      </c>
      <c r="C102" s="30" t="inlineStr">
        <is>
          <t>Are red-team or purple-team exercises performed at least annually?</t>
        </is>
      </c>
      <c r="D102" s="29" t="inlineStr">
        <is>
          <t>Yes</t>
        </is>
      </c>
      <c r="E102" s="30" t="inlineStr">
        <is>
          <t>Implemented per ISP. Refer to SOC 2 Type II Section IV (control mapping) and ISO/IEC 27001:2022 Statement of Applicability.</t>
        </is>
      </c>
    </row>
    <row r="103" ht="27.75" customHeight="1" s="18">
      <c r="A103" s="28" t="inlineStr">
        <is>
          <t>P.3</t>
        </is>
      </c>
      <c r="B103" s="28" t="inlineStr">
        <is>
          <t>P.</t>
        </is>
      </c>
      <c r="C103" s="28" t="inlineStr">
        <is>
          <t>Is brand and credential monitoring performed for executive and infrastructure exposure?</t>
        </is>
      </c>
      <c r="D103" s="29" t="inlineStr">
        <is>
          <t>Yes</t>
        </is>
      </c>
      <c r="E103" s="28" t="inlineStr">
        <is>
          <t>Implemented per ISP. Refer to SOC 2 Type II Section IV (control mapping) and ISO/IEC 27001:2022 Statement of Applicability.</t>
        </is>
      </c>
    </row>
    <row r="104" ht="27.75" customHeight="1" s="18">
      <c r="A104" s="30" t="inlineStr">
        <is>
          <t>P.4</t>
        </is>
      </c>
      <c r="B104" s="30" t="inlineStr">
        <is>
          <t>P.</t>
        </is>
      </c>
      <c r="C104" s="30" t="inlineStr">
        <is>
          <t>Are insider threat indicators monitored within UEBA tooling?</t>
        </is>
      </c>
      <c r="D104" s="29" t="inlineStr">
        <is>
          <t>Yes</t>
        </is>
      </c>
      <c r="E104" s="30" t="inlineStr">
        <is>
          <t>Implemented per ISP. Refer to SOC 2 Type II Section IV (control mapping) and ISO/IEC 27001:2022 Statement of Applicability.</t>
        </is>
      </c>
    </row>
    <row r="105" ht="21.75" customHeight="1" s="18">
      <c r="A105" s="27" t="inlineStr">
        <is>
          <t>Q. Vulnerability Management</t>
        </is>
      </c>
    </row>
    <row r="106" ht="27.75" customHeight="1" s="18">
      <c r="A106" s="30" t="inlineStr">
        <is>
          <t>Q.1</t>
        </is>
      </c>
      <c r="B106" s="30" t="inlineStr">
        <is>
          <t>Q.</t>
        </is>
      </c>
      <c r="C106" s="30" t="inlineStr">
        <is>
          <t>Are authenticated vulnerability scans performed at least monthly?</t>
        </is>
      </c>
      <c r="D106" s="29" t="inlineStr">
        <is>
          <t>Yes</t>
        </is>
      </c>
      <c r="E106" s="30" t="inlineStr">
        <is>
          <t>Implemented per ISP. Refer to SOC 2 Type II Section IV (control mapping) and ISO/IEC 27001:2022 Statement of Applicability.</t>
        </is>
      </c>
    </row>
    <row r="107" ht="27.75" customHeight="1" s="18">
      <c r="A107" s="28" t="inlineStr">
        <is>
          <t>Q.2</t>
        </is>
      </c>
      <c r="B107" s="28" t="inlineStr">
        <is>
          <t>Q.</t>
        </is>
      </c>
      <c r="C107" s="28" t="inlineStr">
        <is>
          <t>Is a documented patch management policy in place with SLAs by severity?</t>
        </is>
      </c>
      <c r="D107" s="29" t="inlineStr">
        <is>
          <t>Yes</t>
        </is>
      </c>
      <c r="E107" s="28" t="inlineStr">
        <is>
          <t>Implemented per ISP. Refer to SOC 2 Type II Section IV (control mapping) and ISO/IEC 27001:2022 Statement of Applicability.</t>
        </is>
      </c>
    </row>
    <row r="108" ht="27.75" customHeight="1" s="18">
      <c r="A108" s="30" t="inlineStr">
        <is>
          <t>Q.3</t>
        </is>
      </c>
      <c r="B108" s="30" t="inlineStr">
        <is>
          <t>Q.</t>
        </is>
      </c>
      <c r="C108" s="30" t="inlineStr">
        <is>
          <t>Are container images scanned at build time and runtime?</t>
        </is>
      </c>
      <c r="D108" s="29" t="inlineStr">
        <is>
          <t>Yes</t>
        </is>
      </c>
      <c r="E108" s="30" t="inlineStr">
        <is>
          <t>Implemented per ISP. Refer to SOC 2 Type II Section IV (control mapping) and ISO/IEC 27001:2022 Statement of Applicability.</t>
        </is>
      </c>
    </row>
    <row r="109" ht="27.75" customHeight="1" s="18">
      <c r="A109" s="28" t="inlineStr">
        <is>
          <t>Q.4</t>
        </is>
      </c>
      <c r="B109" s="28" t="inlineStr">
        <is>
          <t>Q.</t>
        </is>
      </c>
      <c r="C109" s="28" t="inlineStr">
        <is>
          <t>Is a coordinated vulnerability disclosure / bug bounty program in place?</t>
        </is>
      </c>
      <c r="D109" s="29" t="inlineStr">
        <is>
          <t>Yes</t>
        </is>
      </c>
      <c r="E109" s="28" t="inlineStr">
        <is>
          <t>Implemented per ISP. Refer to SOC 2 Type II Section IV (control mapping) and ISO/IEC 27001:2022 Statement of Applicability.</t>
        </is>
      </c>
    </row>
    <row r="110" ht="21.75" customHeight="1" s="18">
      <c r="A110" s="27" t="inlineStr">
        <is>
          <t>R. Cryptography</t>
        </is>
      </c>
    </row>
    <row r="111" ht="27.75" customHeight="1" s="18">
      <c r="A111" s="28" t="inlineStr">
        <is>
          <t>R.1</t>
        </is>
      </c>
      <c r="B111" s="28" t="inlineStr">
        <is>
          <t>R.</t>
        </is>
      </c>
      <c r="C111" s="28" t="inlineStr">
        <is>
          <t>Is there a documented cryptography policy?</t>
        </is>
      </c>
      <c r="D111" s="29" t="inlineStr">
        <is>
          <t>Yes</t>
        </is>
      </c>
      <c r="E111" s="28" t="inlineStr">
        <is>
          <t>Implemented per ISP. Refer to SOC 2 Type II Section IV (control mapping) and ISO/IEC 27001:2022 Statement of Applicability.</t>
        </is>
      </c>
    </row>
    <row r="112" ht="27.75" customHeight="1" s="18">
      <c r="A112" s="30" t="inlineStr">
        <is>
          <t>R.2</t>
        </is>
      </c>
      <c r="B112" s="30" t="inlineStr">
        <is>
          <t>R.</t>
        </is>
      </c>
      <c r="C112" s="30" t="inlineStr">
        <is>
          <t>Are cryptographic keys rotated on a defined schedule?</t>
        </is>
      </c>
      <c r="D112" s="29" t="inlineStr">
        <is>
          <t>Yes</t>
        </is>
      </c>
      <c r="E112" s="30" t="inlineStr">
        <is>
          <t>Implemented per ISP. Refer to SOC 2 Type II Section IV (control mapping) and ISO/IEC 27001:2022 Statement of Applicability.</t>
        </is>
      </c>
    </row>
    <row r="113" ht="27.75" customHeight="1" s="18">
      <c r="A113" s="28" t="inlineStr">
        <is>
          <t>R.3</t>
        </is>
      </c>
      <c r="B113" s="28" t="inlineStr">
        <is>
          <t>R.</t>
        </is>
      </c>
      <c r="C113" s="28" t="inlineStr">
        <is>
          <t>Are deprecated protocols (SSLv3, TLS 1.0, TLS 1.1) explicitly forbidden?</t>
        </is>
      </c>
      <c r="D113" s="29" t="inlineStr">
        <is>
          <t>Yes</t>
        </is>
      </c>
      <c r="E113" s="28" t="inlineStr">
        <is>
          <t>Implemented per ISP. Refer to SOC 2 Type II Section IV (control mapping) and ISO/IEC 27001:2022 Statement of Applicability.</t>
        </is>
      </c>
    </row>
    <row r="114" ht="27.75" customHeight="1" s="18">
      <c r="A114" s="30" t="inlineStr">
        <is>
          <t>R.4</t>
        </is>
      </c>
      <c r="B114" s="30" t="inlineStr">
        <is>
          <t>R.</t>
        </is>
      </c>
      <c r="C114" s="30" t="inlineStr">
        <is>
          <t>Are post-quantum cryptography readiness activities tracked?</t>
        </is>
      </c>
      <c r="D114" s="29" t="inlineStr">
        <is>
          <t>Yes</t>
        </is>
      </c>
      <c r="E114" s="30" t="inlineStr">
        <is>
          <t>Implemented per ISP. Refer to SOC 2 Type II Section IV (control mapping) and ISO/IEC 27001:2022 Statement of Applicability.</t>
        </is>
      </c>
    </row>
    <row r="115" ht="21.75" customHeight="1" s="18">
      <c r="A115" s="27" t="inlineStr">
        <is>
          <t>S. Supplier Relationships</t>
        </is>
      </c>
    </row>
    <row r="116" ht="27.75" customHeight="1" s="18">
      <c r="A116" s="30" t="inlineStr">
        <is>
          <t>S.1</t>
        </is>
      </c>
      <c r="B116" s="30" t="inlineStr">
        <is>
          <t>S.</t>
        </is>
      </c>
      <c r="C116" s="30" t="inlineStr">
        <is>
          <t>Are sub-suppliers contractually flowed-down with security requirements?</t>
        </is>
      </c>
      <c r="D116" s="29" t="inlineStr">
        <is>
          <t>Yes</t>
        </is>
      </c>
      <c r="E116" s="30" t="inlineStr">
        <is>
          <t>Implemented per ISP. Refer to SOC 2 Type II Section IV (control mapping) and ISO/IEC 27001:2022 Statement of Applicability.</t>
        </is>
      </c>
    </row>
    <row r="117" ht="27.75" customHeight="1" s="18">
      <c r="A117" s="28" t="inlineStr">
        <is>
          <t>S.2</t>
        </is>
      </c>
      <c r="B117" s="28" t="inlineStr">
        <is>
          <t>S.</t>
        </is>
      </c>
      <c r="C117" s="28" t="inlineStr">
        <is>
          <t>Is there a formal supplier offboarding process including data destruction attestation?</t>
        </is>
      </c>
      <c r="D117" s="29" t="inlineStr">
        <is>
          <t>Yes</t>
        </is>
      </c>
      <c r="E117" s="28" t="inlineStr">
        <is>
          <t>Implemented per ISP. Refer to SOC 2 Type II Section IV (control mapping) and ISO/IEC 27001:2022 Statement of Applicability.</t>
        </is>
      </c>
    </row>
    <row r="118" ht="27.75" customHeight="1" s="18">
      <c r="A118" s="30" t="inlineStr">
        <is>
          <t>S.3</t>
        </is>
      </c>
      <c r="B118" s="30" t="inlineStr">
        <is>
          <t>S.</t>
        </is>
      </c>
      <c r="C118" s="30" t="inlineStr">
        <is>
          <t>Are concentration risks across critical suppliers monitored?</t>
        </is>
      </c>
      <c r="D118" s="29" t="inlineStr">
        <is>
          <t>Yes</t>
        </is>
      </c>
      <c r="E118" s="30" t="inlineStr">
        <is>
          <t>Implemented per ISP. Refer to SOC 2 Type II Section IV (control mapping) and ISO/IEC 27001:2022 Statement of Applicability.</t>
        </is>
      </c>
    </row>
    <row r="119" ht="21.75" customHeight="1" s="18">
      <c r="A119" s="27" t="inlineStr">
        <is>
          <t>T. Server / Hosting</t>
        </is>
      </c>
    </row>
    <row r="120" ht="27.75" customHeight="1" s="18">
      <c r="A120" s="30" t="inlineStr">
        <is>
          <t>T.1</t>
        </is>
      </c>
      <c r="B120" s="30" t="inlineStr">
        <is>
          <t>T.</t>
        </is>
      </c>
      <c r="C120" s="30" t="inlineStr">
        <is>
          <t>Is hosting infrastructure operated in tier III+ data centers or hyperscaler equivalent?</t>
        </is>
      </c>
      <c r="D120" s="29" t="inlineStr">
        <is>
          <t>Yes</t>
        </is>
      </c>
      <c r="E120" s="30" t="inlineStr">
        <is>
          <t>Implemented per ISP. Refer to SOC 2 Type II Section IV (control mapping) and ISO/IEC 27001:2022 Statement of Applicability.</t>
        </is>
      </c>
    </row>
    <row r="121" ht="27.75" customHeight="1" s="18">
      <c r="A121" s="28" t="inlineStr">
        <is>
          <t>T.2</t>
        </is>
      </c>
      <c r="B121" s="28" t="inlineStr">
        <is>
          <t>T.</t>
        </is>
      </c>
      <c r="C121" s="28" t="inlineStr">
        <is>
          <t>Are server build standards based on CIS Benchmarks or equivalent hardening guides?</t>
        </is>
      </c>
      <c r="D121" s="29" t="inlineStr">
        <is>
          <t>Yes</t>
        </is>
      </c>
      <c r="E121" s="28" t="inlineStr">
        <is>
          <t>Implemented per ISP. Refer to SOC 2 Type II Section IV (control mapping) and ISO/IEC 27001:2022 Statement of Applicability.</t>
        </is>
      </c>
    </row>
    <row r="122" ht="27.75" customHeight="1" s="18">
      <c r="A122" s="30" t="inlineStr">
        <is>
          <t>T.3</t>
        </is>
      </c>
      <c r="B122" s="30" t="inlineStr">
        <is>
          <t>T.</t>
        </is>
      </c>
      <c r="C122" s="30" t="inlineStr">
        <is>
          <t>Is configuration drift monitored on production hosts?</t>
        </is>
      </c>
      <c r="D122" s="29" t="inlineStr">
        <is>
          <t>Yes</t>
        </is>
      </c>
      <c r="E122" s="30" t="inlineStr">
        <is>
          <t>Implemented per ISP. Refer to SOC 2 Type II Section IV (control mapping) and ISO/IEC 27001:2022 Statement of Applicability.</t>
        </is>
      </c>
    </row>
    <row r="123" ht="27.75" customHeight="1" s="18">
      <c r="A123" s="28" t="inlineStr">
        <is>
          <t>T.4</t>
        </is>
      </c>
      <c r="B123" s="28" t="inlineStr">
        <is>
          <t>T.</t>
        </is>
      </c>
      <c r="C123" s="28" t="inlineStr">
        <is>
          <t>Are administrative protocols (SSH/RDP) only accessible via bastion + MFA?</t>
        </is>
      </c>
      <c r="D123" s="29" t="inlineStr">
        <is>
          <t>Yes</t>
        </is>
      </c>
      <c r="E123" s="28" t="inlineStr">
        <is>
          <t>Implemented per ISP. Refer to SOC 2 Type II Section IV (control mapping) and ISO/IEC 27001:2022 Statement of Applicability.</t>
        </is>
      </c>
    </row>
    <row r="124" ht="21.75" customHeight="1" s="18">
      <c r="A124" s="27" t="inlineStr">
        <is>
          <t>U. Cloud Hosting Services</t>
        </is>
      </c>
    </row>
    <row r="125" ht="27.75" customHeight="1" s="18">
      <c r="A125" s="28" t="inlineStr">
        <is>
          <t>U.1</t>
        </is>
      </c>
      <c r="B125" s="28" t="inlineStr">
        <is>
          <t>U.</t>
        </is>
      </c>
      <c r="C125" s="28" t="inlineStr">
        <is>
          <t>What cloud regions process customer data? Is data residency contractually enforced?</t>
        </is>
      </c>
      <c r="D125" s="31" t="inlineStr">
        <is>
          <t>See comment</t>
        </is>
      </c>
      <c r="E125" s="28" t="inlineStr">
        <is>
          <t>Implemented per ISP. Refer to SOC 2 Type II Section IV (control mapping) and ISO/IEC 27001:2022 Statement of Applicability.</t>
        </is>
      </c>
    </row>
    <row r="126" ht="27.75" customHeight="1" s="18">
      <c r="A126" s="30" t="inlineStr">
        <is>
          <t>U.2</t>
        </is>
      </c>
      <c r="B126" s="30" t="inlineStr">
        <is>
          <t>U.</t>
        </is>
      </c>
      <c r="C126" s="30" t="inlineStr">
        <is>
          <t>Are cloud control plane access events logged and forwarded to SIEM?</t>
        </is>
      </c>
      <c r="D126" s="29" t="inlineStr">
        <is>
          <t>Yes</t>
        </is>
      </c>
      <c r="E126" s="30" t="inlineStr">
        <is>
          <t>Implemented per ISP. Refer to SOC 2 Type II Section IV (control mapping) and ISO/IEC 27001:2022 Statement of Applicability.</t>
        </is>
      </c>
    </row>
    <row r="127" ht="27.75" customHeight="1" s="18">
      <c r="A127" s="28" t="inlineStr">
        <is>
          <t>U.3</t>
        </is>
      </c>
      <c r="B127" s="28" t="inlineStr">
        <is>
          <t>U.</t>
        </is>
      </c>
      <c r="C127" s="28" t="inlineStr">
        <is>
          <t>Are cloud workloads deployed via Infrastructure-as-Code with peer review?</t>
        </is>
      </c>
      <c r="D127" s="29" t="inlineStr">
        <is>
          <t>Yes</t>
        </is>
      </c>
      <c r="E127" s="28" t="inlineStr">
        <is>
          <t>Implemented per ISP. Refer to SOC 2 Type II Section IV (control mapping) and ISO/IEC 27001:2022 Statement of Applicability.</t>
        </is>
      </c>
    </row>
    <row r="128" ht="27.75" customHeight="1" s="18">
      <c r="A128" s="30" t="inlineStr">
        <is>
          <t>U.4</t>
        </is>
      </c>
      <c r="B128" s="30" t="inlineStr">
        <is>
          <t>U.</t>
        </is>
      </c>
      <c r="C128" s="30" t="inlineStr">
        <is>
          <t>Are publicly-exposed cloud assets continuously inventoried (ASM)?</t>
        </is>
      </c>
      <c r="D128" s="29" t="inlineStr">
        <is>
          <t>Yes</t>
        </is>
      </c>
      <c r="E128" s="30" t="inlineStr">
        <is>
          <t>Implemented per ISP. Refer to SOC 2 Type II Section IV (control mapping) and ISO/IEC 27001:2022 Statement of Applicability.</t>
        </is>
      </c>
    </row>
    <row r="129" ht="27.75" customHeight="1" s="18">
      <c r="A129" s="28" t="inlineStr">
        <is>
          <t>U.5</t>
        </is>
      </c>
      <c r="B129" s="28" t="inlineStr">
        <is>
          <t>U.</t>
        </is>
      </c>
      <c r="C129" s="28" t="inlineStr">
        <is>
          <t>Are S3-style storage buckets blocked from public access by default?</t>
        </is>
      </c>
      <c r="D129" s="29" t="inlineStr">
        <is>
          <t>Yes</t>
        </is>
      </c>
      <c r="E129" s="28" t="inlineStr">
        <is>
          <t>Implemented per ISP. Refer to SOC 2 Type II Section IV (control mapping) and ISO/IEC 27001:2022 Statement of Applicability.</t>
        </is>
      </c>
    </row>
    <row r="130" ht="21.75" customHeight="1" s="18">
      <c r="A130" s="27" t="inlineStr">
        <is>
          <t>V. Mobile</t>
        </is>
      </c>
    </row>
    <row r="131" ht="27.75" customHeight="1" s="18">
      <c r="A131" s="28" t="inlineStr">
        <is>
          <t>V.1</t>
        </is>
      </c>
      <c r="B131" s="28" t="inlineStr">
        <is>
          <t>V.</t>
        </is>
      </c>
      <c r="C131" s="28" t="inlineStr">
        <is>
          <t>Is a mobile application security testing program in place (MASVS / OWASP MASVS)?</t>
        </is>
      </c>
      <c r="D131" s="29" t="inlineStr">
        <is>
          <t>Yes</t>
        </is>
      </c>
      <c r="E131" s="28" t="inlineStr">
        <is>
          <t>Implemented per ISP. Refer to SOC 2 Type II Section IV (control mapping) and ISO/IEC 27001:2022 Statement of Applicability.</t>
        </is>
      </c>
    </row>
    <row r="132" ht="27.75" customHeight="1" s="18">
      <c r="A132" s="30" t="inlineStr">
        <is>
          <t>V.2</t>
        </is>
      </c>
      <c r="B132" s="30" t="inlineStr">
        <is>
          <t>V.</t>
        </is>
      </c>
      <c r="C132" s="30" t="inlineStr">
        <is>
          <t>Are mobile app secrets stored in platform-secure enclaves?</t>
        </is>
      </c>
      <c r="D132" s="29" t="inlineStr">
        <is>
          <t>Yes</t>
        </is>
      </c>
      <c r="E132" s="30" t="inlineStr">
        <is>
          <t>Implemented per ISP. Refer to SOC 2 Type II Section IV (control mapping) and ISO/IEC 27001:2022 Statement of Applicability.</t>
        </is>
      </c>
    </row>
    <row r="133" ht="21.75" customHeight="1" s="18">
      <c r="A133" s="27" t="inlineStr">
        <is>
          <t>W. AI/ML Governance</t>
        </is>
      </c>
    </row>
    <row r="134" ht="27.75" customHeight="1" s="18">
      <c r="A134" s="30" t="inlineStr">
        <is>
          <t>W.1</t>
        </is>
      </c>
      <c r="B134" s="30" t="inlineStr">
        <is>
          <t>W.</t>
        </is>
      </c>
      <c r="C134" s="30" t="inlineStr">
        <is>
          <t>Is generative AI usage by the supplier on customer data formally governed?</t>
        </is>
      </c>
      <c r="D134" s="29" t="inlineStr">
        <is>
          <t>Yes</t>
        </is>
      </c>
      <c r="E134" s="30" t="inlineStr">
        <is>
          <t>Implemented per ISP. Refer to SOC 2 Type II Section IV (control mapping) and ISO/IEC 27001:2022 Statement of Applicability.</t>
        </is>
      </c>
    </row>
    <row r="135" ht="27.75" customHeight="1" s="18">
      <c r="A135" s="28" t="inlineStr">
        <is>
          <t>W.2</t>
        </is>
      </c>
      <c r="B135" s="28" t="inlineStr">
        <is>
          <t>W.</t>
        </is>
      </c>
      <c r="C135" s="28" t="inlineStr">
        <is>
          <t>Is customer data excluded from third-party model training without consent?</t>
        </is>
      </c>
      <c r="D135" s="29" t="inlineStr">
        <is>
          <t>Yes</t>
        </is>
      </c>
      <c r="E135" s="28" t="inlineStr">
        <is>
          <t>Implemented per ISP. Refer to SOC 2 Type II Section IV (control mapping) and ISO/IEC 27001:2022 Statement of Applicability.</t>
        </is>
      </c>
    </row>
    <row r="136" ht="27.75" customHeight="1" s="18">
      <c r="A136" s="30" t="inlineStr">
        <is>
          <t>W.3</t>
        </is>
      </c>
      <c r="B136" s="30" t="inlineStr">
        <is>
          <t>W.</t>
        </is>
      </c>
      <c r="C136" s="30" t="inlineStr">
        <is>
          <t>Are AI-related risks included in the enterprise risk register?</t>
        </is>
      </c>
      <c r="D136" s="29" t="inlineStr">
        <is>
          <t>Yes</t>
        </is>
      </c>
      <c r="E136" s="30" t="inlineStr">
        <is>
          <t>Implemented per ISP. Refer to SOC 2 Type II Section IV (control mapping) and ISO/IEC 27001:2022 Statement of Applicability.</t>
        </is>
      </c>
    </row>
    <row r="137" ht="21.75" customHeight="1" s="18">
      <c r="A137" s="27" t="inlineStr">
        <is>
          <t>X. Resiliency Testing</t>
        </is>
      </c>
    </row>
    <row r="138" ht="27.75" customHeight="1" s="18">
      <c r="A138" s="30" t="inlineStr">
        <is>
          <t>X.1</t>
        </is>
      </c>
      <c r="B138" s="30" t="inlineStr">
        <is>
          <t>X.</t>
        </is>
      </c>
      <c r="C138" s="30" t="inlineStr">
        <is>
          <t>Are chaos engineering / fault-injection exercises performed in production?</t>
        </is>
      </c>
      <c r="D138" s="29" t="inlineStr">
        <is>
          <t>Yes</t>
        </is>
      </c>
      <c r="E138" s="30" t="inlineStr">
        <is>
          <t>Implemented per ISP. Refer to SOC 2 Type II Section IV (control mapping) and ISO/IEC 27001:2022 Statement of Applicability.</t>
        </is>
      </c>
    </row>
    <row r="139" ht="27.75" customHeight="1" s="18">
      <c r="A139" s="28" t="inlineStr">
        <is>
          <t>X.2</t>
        </is>
      </c>
      <c r="B139" s="28" t="inlineStr">
        <is>
          <t>X.</t>
        </is>
      </c>
      <c r="C139" s="28" t="inlineStr">
        <is>
          <t>Are dependency failure scenarios tested at least annually?</t>
        </is>
      </c>
      <c r="D139" s="29" t="inlineStr">
        <is>
          <t>Yes</t>
        </is>
      </c>
      <c r="E139" s="28" t="inlineStr">
        <is>
          <t>Implemented per ISP. Refer to SOC 2 Type II Section IV (control mapping) and ISO/IEC 27001:2022 Statement of Applicability.</t>
        </is>
      </c>
    </row>
    <row r="140" ht="21.75" customHeight="1" s="18">
      <c r="A140" s="27" t="inlineStr">
        <is>
          <t>Y. Logging &amp; Monitoring</t>
        </is>
      </c>
    </row>
    <row r="141" ht="27.75" customHeight="1" s="18">
      <c r="A141" s="28" t="inlineStr">
        <is>
          <t>Y.1</t>
        </is>
      </c>
      <c r="B141" s="28" t="inlineStr">
        <is>
          <t>Y.</t>
        </is>
      </c>
      <c r="C141" s="28" t="inlineStr">
        <is>
          <t>Are security-relevant events forwarded to a SIEM?</t>
        </is>
      </c>
      <c r="D141" s="29" t="inlineStr">
        <is>
          <t>Yes</t>
        </is>
      </c>
      <c r="E141" s="28" t="inlineStr">
        <is>
          <t>Implemented per ISP. Refer to SOC 2 Type II Section IV (control mapping) and ISO/IEC 27001:2022 Statement of Applicability.</t>
        </is>
      </c>
    </row>
    <row r="142" ht="27.75" customHeight="1" s="18">
      <c r="A142" s="30" t="inlineStr">
        <is>
          <t>Y.2</t>
        </is>
      </c>
      <c r="B142" s="30" t="inlineStr">
        <is>
          <t>Y.</t>
        </is>
      </c>
      <c r="C142" s="30" t="inlineStr">
        <is>
          <t>Is log integrity protected (e.g., write-once storage / cryptographic chaining)?</t>
        </is>
      </c>
      <c r="D142" s="29" t="inlineStr">
        <is>
          <t>Yes</t>
        </is>
      </c>
      <c r="E142" s="30" t="inlineStr">
        <is>
          <t>Implemented per ISP. Refer to SOC 2 Type II Section IV (control mapping) and ISO/IEC 27001:2022 Statement of Applicability.</t>
        </is>
      </c>
    </row>
    <row r="143" ht="27.75" customHeight="1" s="18">
      <c r="A143" s="28" t="inlineStr">
        <is>
          <t>Y.3</t>
        </is>
      </c>
      <c r="B143" s="28" t="inlineStr">
        <is>
          <t>Y.</t>
        </is>
      </c>
      <c r="C143" s="28" t="inlineStr">
        <is>
          <t>Are alert response runbooks maintained and exercised?</t>
        </is>
      </c>
      <c r="D143" s="29" t="inlineStr">
        <is>
          <t>Yes</t>
        </is>
      </c>
      <c r="E143" s="28" t="inlineStr">
        <is>
          <t>Implemented per ISP. Refer to SOC 2 Type II Section IV (control mapping) and ISO/IEC 27001:2022 Statement of Applicability.</t>
        </is>
      </c>
    </row>
    <row r="144" ht="21.75" customHeight="1" s="18">
      <c r="A144" s="27" t="inlineStr">
        <is>
          <t>Z. Customer Audit Rights</t>
        </is>
      </c>
    </row>
    <row r="145" ht="27.75" customHeight="1" s="18">
      <c r="A145" s="28" t="inlineStr">
        <is>
          <t>Z.1</t>
        </is>
      </c>
      <c r="B145" s="28" t="inlineStr">
        <is>
          <t>Z.</t>
        </is>
      </c>
      <c r="C145" s="28" t="inlineStr">
        <is>
          <t>Do contracts permit customer-initiated audit (or pooled audit) at least annually?</t>
        </is>
      </c>
      <c r="D145" s="29" t="inlineStr">
        <is>
          <t>Yes</t>
        </is>
      </c>
      <c r="E145" s="28" t="inlineStr">
        <is>
          <t>Implemented per ISP. Refer to SOC 2 Type II Section IV (control mapping) and ISO/IEC 27001:2022 Statement of Applicability.</t>
        </is>
      </c>
    </row>
    <row r="146" ht="27.75" customHeight="1" s="18">
      <c r="A146" s="30" t="inlineStr">
        <is>
          <t>Z.2</t>
        </is>
      </c>
      <c r="B146" s="30" t="inlineStr">
        <is>
          <t>Z.</t>
        </is>
      </c>
      <c r="C146" s="30" t="inlineStr">
        <is>
          <t>Are subservice org audit reports made available to customers?</t>
        </is>
      </c>
      <c r="D146" s="29" t="inlineStr">
        <is>
          <t>Yes</t>
        </is>
      </c>
      <c r="E146" s="30" t="inlineStr">
        <is>
          <t>Implemented per ISP. Refer to SOC 2 Type II Section IV (control mapping) and ISO/IEC 27001:2022 Statement of Applicability.</t>
        </is>
      </c>
    </row>
  </sheetData>
  <mergeCells count="26">
    <mergeCell ref="A30:E30"/>
    <mergeCell ref="A60:E60"/>
    <mergeCell ref="A94:E94"/>
    <mergeCell ref="A36:E36"/>
    <mergeCell ref="A119:E119"/>
    <mergeCell ref="A110:E110"/>
    <mergeCell ref="A124:E124"/>
    <mergeCell ref="A7:E7"/>
    <mergeCell ref="A25:E25"/>
    <mergeCell ref="A137:E137"/>
    <mergeCell ref="A75:E75"/>
    <mergeCell ref="A133:E133"/>
    <mergeCell ref="A80:E80"/>
    <mergeCell ref="A105:E105"/>
    <mergeCell ref="A12:E12"/>
    <mergeCell ref="A2:E2"/>
    <mergeCell ref="A86:E86"/>
    <mergeCell ref="A144:E144"/>
    <mergeCell ref="A140:E140"/>
    <mergeCell ref="A100:E100"/>
    <mergeCell ref="A52:E52"/>
    <mergeCell ref="A19:E19"/>
    <mergeCell ref="A68:E68"/>
    <mergeCell ref="A115:E115"/>
    <mergeCell ref="A44:E44"/>
    <mergeCell ref="A130:E130"/>
  </mergeCells>
  <printOptions horizontalCentered="1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B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17" min="1" max="1"/>
    <col width="20" customWidth="1" style="17" min="2" max="2"/>
  </cols>
  <sheetData>
    <row r="1" ht="17.35" customHeight="1" s="18">
      <c r="A1" s="33" t="inlineStr">
        <is>
          <t>SIG Lite Response Summary</t>
        </is>
      </c>
    </row>
    <row r="3" ht="15" customHeight="1" s="18">
      <c r="A3" s="23" t="inlineStr">
        <is>
          <t>Vendor</t>
        </is>
      </c>
      <c r="B3" s="17" t="inlineStr">
        <is>
          <t>CloudNimbus Financial Cloud Services Ltd.</t>
        </is>
      </c>
    </row>
    <row r="4" ht="15" customHeight="1" s="18">
      <c r="A4" s="23" t="inlineStr">
        <is>
          <t>Total questions</t>
        </is>
      </c>
      <c r="B4" s="17" t="n">
        <v>119</v>
      </c>
    </row>
    <row r="5" ht="15" customHeight="1" s="18">
      <c r="A5" s="23" t="inlineStr">
        <is>
          <t>Yes responses</t>
        </is>
      </c>
      <c r="B5" s="17">
        <f>COUNTIF(Responses!D:D,"Yes")</f>
        <v/>
      </c>
    </row>
    <row r="6" ht="15" customHeight="1" s="18">
      <c r="A6" s="23" t="inlineStr">
        <is>
          <t>Partial responses</t>
        </is>
      </c>
      <c r="B6" s="17">
        <f>COUNTIF(Responses!D:D,"Partial")</f>
        <v/>
      </c>
    </row>
    <row r="7" ht="15" customHeight="1" s="18">
      <c r="A7" s="23" t="inlineStr">
        <is>
          <t>No responses</t>
        </is>
      </c>
      <c r="B7" s="17">
        <f>COUNTIF(Responses!D:D,"No")</f>
        <v/>
      </c>
    </row>
    <row r="8" ht="15" customHeight="1" s="18">
      <c r="A8" s="23" t="inlineStr">
        <is>
          <t>N/A responses</t>
        </is>
      </c>
      <c r="B8" s="17">
        <f>COUNTIF(Responses!D:D,"N/A")</f>
        <v/>
      </c>
    </row>
    <row r="9" ht="15" customHeight="1" s="18">
      <c r="A9" s="23" t="inlineStr">
        <is>
          <t>Text/See comment</t>
        </is>
      </c>
      <c r="B9" s="17">
        <f>COUNTIF(Responses!D:D,"See comment")</f>
        <v/>
      </c>
    </row>
    <row r="11" ht="15" customHeight="1" s="18">
      <c r="A11" s="23" t="inlineStr">
        <is>
          <t>Compliance Score (Yes / Total YN)</t>
        </is>
      </c>
      <c r="B11" s="34">
        <f>B5/(B5+B6+B7)</f>
        <v/>
      </c>
    </row>
    <row r="12" ht="15" customHeight="1" s="18">
      <c r="A12" s="23" t="inlineStr">
        <is>
          <t>Self-assessed Maturity</t>
        </is>
      </c>
      <c r="B12" s="17" t="inlineStr">
        <is>
          <t>Very High</t>
        </is>
      </c>
    </row>
  </sheetData>
  <mergeCells count="1">
    <mergeCell ref="A1:B1"/>
  </mergeCells>
  <printOptions horizontalCentered="1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2026-05-01T12:04:30Z</dcterms:created>
  <dcterms:modified xmlns:dcterms="http://purl.org/dc/terms/" xmlns:xsi="http://www.w3.org/2001/XMLSchema-instance" xsi:type="dcterms:W3CDTF">2026-05-01T12:14:27Z</dcterms:modified>
  <cp:revision>0</cp:revision>
</cp:coreProperties>
</file>